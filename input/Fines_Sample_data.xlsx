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ivettu.sharepoint.com/sites/TEM-TA143/Shared Documents/General/PROJEKTI TÄITJAD/Sander Kanter/R_Project/Limefine/input/"/>
    </mc:Choice>
  </mc:AlternateContent>
  <xr:revisionPtr revIDLastSave="191" documentId="8_{16ECEE21-69FC-4497-BA95-E39E53E8E1C1}" xr6:coauthVersionLast="47" xr6:coauthVersionMax="47" xr10:uidLastSave="{A228D07D-A0DB-4FBF-9D3E-D104325239C0}"/>
  <bookViews>
    <workbookView xWindow="-120" yWindow="-120" windowWidth="29040" windowHeight="15720" tabRatio="729" activeTab="5" xr2:uid="{AF1BD276-D9FE-4F36-B714-13F807559DF1}"/>
  </bookViews>
  <sheets>
    <sheet name="Precalcination_forR" sheetId="11" r:id="rId1"/>
    <sheet name="Number of samples" sheetId="1" r:id="rId2"/>
    <sheet name="Sample locations" sheetId="2" r:id="rId3"/>
    <sheet name="Granulometric composition" sheetId="3" r:id="rId4"/>
    <sheet name="Granulometric composition 2" sheetId="4" r:id="rId5"/>
    <sheet name="XRF" sheetId="6" r:id="rId6"/>
    <sheet name="Filtered by CaO" sheetId="7" r:id="rId7"/>
    <sheet name="Precalcination" sheetId="8" r:id="rId8"/>
    <sheet name="XRD results" sheetId="10" r:id="rId9"/>
    <sheet name="XRD_orig" sheetId="9" r:id="rId10"/>
  </sheets>
  <definedNames>
    <definedName name="_xlnm._FilterDatabase" localSheetId="6" hidden="1">'Filtered by CaO'!$B$2:$N$62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1" l="1"/>
  <c r="S3" i="11" s="1"/>
  <c r="T3" i="11" s="1"/>
  <c r="Q4" i="11"/>
  <c r="S4" i="11" s="1"/>
  <c r="T4" i="11" s="1"/>
  <c r="Q5" i="11"/>
  <c r="S5" i="11" s="1"/>
  <c r="T5" i="11" s="1"/>
  <c r="Q6" i="11"/>
  <c r="S6" i="11" s="1"/>
  <c r="T6" i="11" s="1"/>
  <c r="Q7" i="11"/>
  <c r="S7" i="11" s="1"/>
  <c r="T7" i="11" s="1"/>
  <c r="Q8" i="11"/>
  <c r="S8" i="11" s="1"/>
  <c r="T8" i="11" s="1"/>
  <c r="F8" i="8"/>
  <c r="H8" i="8" s="1"/>
  <c r="I8" i="8" s="1"/>
  <c r="F7" i="8"/>
  <c r="H7" i="8" s="1"/>
  <c r="I7" i="8" s="1"/>
  <c r="F6" i="8"/>
  <c r="H6" i="8" s="1"/>
  <c r="I6" i="8" s="1"/>
  <c r="I5" i="8"/>
  <c r="H5" i="8"/>
  <c r="F5" i="8"/>
  <c r="F4" i="8"/>
  <c r="H4" i="8" s="1"/>
  <c r="I4" i="8" s="1"/>
  <c r="F3" i="8"/>
  <c r="H3" i="8" s="1"/>
  <c r="I3" i="8" s="1"/>
  <c r="P62" i="3"/>
  <c r="D62" i="3"/>
  <c r="E62" i="3" s="1"/>
  <c r="P61" i="3"/>
  <c r="D61" i="3"/>
  <c r="E61" i="3" s="1"/>
  <c r="P60" i="3"/>
  <c r="D60" i="3"/>
  <c r="E60" i="3" s="1"/>
  <c r="P59" i="3"/>
  <c r="D59" i="3"/>
  <c r="E59" i="3" s="1"/>
  <c r="P58" i="3"/>
  <c r="D58" i="3"/>
  <c r="E58" i="3" s="1"/>
  <c r="P57" i="3"/>
  <c r="D57" i="3"/>
  <c r="E57" i="3" s="1"/>
  <c r="P56" i="3"/>
  <c r="D56" i="3"/>
  <c r="E56" i="3" s="1"/>
  <c r="P55" i="3"/>
  <c r="D55" i="3"/>
  <c r="E55" i="3" s="1"/>
  <c r="P54" i="3"/>
  <c r="D54" i="3"/>
  <c r="E54" i="3" s="1"/>
  <c r="P53" i="3"/>
  <c r="D53" i="3"/>
  <c r="E53" i="3" s="1"/>
  <c r="P52" i="3"/>
  <c r="D52" i="3"/>
  <c r="E52" i="3" s="1"/>
  <c r="P51" i="3"/>
  <c r="D51" i="3"/>
  <c r="E51" i="3" s="1"/>
  <c r="P50" i="3"/>
  <c r="D50" i="3"/>
  <c r="E50" i="3" s="1"/>
  <c r="P49" i="3"/>
  <c r="D49" i="3"/>
  <c r="E49" i="3" s="1"/>
  <c r="P48" i="3"/>
  <c r="D48" i="3"/>
  <c r="E48" i="3" s="1"/>
  <c r="P47" i="3"/>
  <c r="D47" i="3"/>
  <c r="E47" i="3" s="1"/>
  <c r="P46" i="3"/>
  <c r="D46" i="3"/>
  <c r="E46" i="3" s="1"/>
  <c r="P45" i="3"/>
  <c r="D45" i="3"/>
  <c r="E45" i="3" s="1"/>
  <c r="P44" i="3"/>
  <c r="D44" i="3"/>
  <c r="E44" i="3" s="1"/>
  <c r="P43" i="3"/>
  <c r="D43" i="3"/>
  <c r="E43" i="3" s="1"/>
  <c r="P42" i="3"/>
  <c r="D42" i="3"/>
  <c r="E42" i="3" s="1"/>
  <c r="P41" i="3"/>
  <c r="D41" i="3"/>
  <c r="E41" i="3" s="1"/>
  <c r="P40" i="3"/>
  <c r="D40" i="3"/>
  <c r="E40" i="3" s="1"/>
  <c r="P39" i="3"/>
  <c r="D39" i="3"/>
  <c r="E39" i="3" s="1"/>
  <c r="P38" i="3"/>
  <c r="D38" i="3"/>
  <c r="E38" i="3" s="1"/>
  <c r="P37" i="3"/>
  <c r="D37" i="3"/>
  <c r="E37" i="3" s="1"/>
  <c r="P36" i="3"/>
  <c r="D36" i="3"/>
  <c r="E36" i="3" s="1"/>
  <c r="P35" i="3"/>
  <c r="D35" i="3"/>
  <c r="E35" i="3" s="1"/>
  <c r="P34" i="3"/>
  <c r="D34" i="3"/>
  <c r="E34" i="3" s="1"/>
  <c r="P33" i="3"/>
  <c r="D33" i="3"/>
  <c r="E33" i="3" s="1"/>
  <c r="P32" i="3"/>
  <c r="D32" i="3"/>
  <c r="E32" i="3" s="1"/>
  <c r="P31" i="3"/>
  <c r="D31" i="3"/>
  <c r="E31" i="3" s="1"/>
  <c r="P30" i="3"/>
  <c r="D30" i="3"/>
  <c r="E30" i="3" s="1"/>
  <c r="P29" i="3"/>
  <c r="D29" i="3"/>
  <c r="E29" i="3" s="1"/>
  <c r="P28" i="3"/>
  <c r="D28" i="3"/>
  <c r="E28" i="3" s="1"/>
  <c r="P27" i="3"/>
  <c r="D27" i="3"/>
  <c r="E27" i="3" s="1"/>
  <c r="P26" i="3"/>
  <c r="D26" i="3"/>
  <c r="E26" i="3" s="1"/>
  <c r="P25" i="3"/>
  <c r="D25" i="3"/>
  <c r="E25" i="3" s="1"/>
  <c r="P24" i="3"/>
  <c r="D24" i="3"/>
  <c r="E24" i="3" s="1"/>
  <c r="P23" i="3"/>
  <c r="D23" i="3"/>
  <c r="E23" i="3" s="1"/>
  <c r="P22" i="3"/>
  <c r="D22" i="3"/>
  <c r="E22" i="3" s="1"/>
  <c r="P21" i="3"/>
  <c r="D21" i="3"/>
  <c r="E21" i="3" s="1"/>
  <c r="P20" i="3"/>
  <c r="D20" i="3"/>
  <c r="E20" i="3" s="1"/>
  <c r="P19" i="3"/>
  <c r="D19" i="3"/>
  <c r="E19" i="3" s="1"/>
  <c r="P18" i="3"/>
  <c r="D18" i="3"/>
  <c r="E18" i="3" s="1"/>
  <c r="P17" i="3"/>
  <c r="D17" i="3"/>
  <c r="E17" i="3" s="1"/>
  <c r="P16" i="3"/>
  <c r="D16" i="3"/>
  <c r="E16" i="3" s="1"/>
  <c r="P15" i="3"/>
  <c r="D15" i="3"/>
  <c r="E15" i="3" s="1"/>
  <c r="P14" i="3"/>
  <c r="D14" i="3"/>
  <c r="E14" i="3" s="1"/>
  <c r="P13" i="3"/>
  <c r="D13" i="3"/>
  <c r="E13" i="3" s="1"/>
  <c r="P12" i="3"/>
  <c r="D12" i="3"/>
  <c r="E12" i="3" s="1"/>
  <c r="P11" i="3"/>
  <c r="D11" i="3"/>
  <c r="E11" i="3" s="1"/>
  <c r="P10" i="3"/>
  <c r="D10" i="3"/>
  <c r="E10" i="3" s="1"/>
  <c r="P9" i="3"/>
  <c r="D9" i="3"/>
  <c r="E9" i="3" s="1"/>
  <c r="P8" i="3"/>
  <c r="D8" i="3"/>
  <c r="E8" i="3" s="1"/>
  <c r="P7" i="3"/>
  <c r="D7" i="3"/>
  <c r="E7" i="3" s="1"/>
  <c r="P6" i="3"/>
  <c r="D6" i="3"/>
  <c r="E6" i="3" s="1"/>
  <c r="P5" i="3"/>
  <c r="D5" i="3"/>
  <c r="E5" i="3" s="1"/>
  <c r="D4" i="3"/>
  <c r="E4" i="3" s="1"/>
  <c r="P3" i="3"/>
  <c r="D3" i="3"/>
  <c r="E3" i="3" s="1"/>
  <c r="J30" i="1" l="1"/>
  <c r="K28" i="1"/>
  <c r="I28" i="1"/>
  <c r="K27" i="1"/>
  <c r="I27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  <c r="K14" i="1"/>
  <c r="I14" i="1"/>
  <c r="K13" i="1"/>
  <c r="I13" i="1"/>
  <c r="K12" i="1"/>
  <c r="I12" i="1"/>
  <c r="K11" i="1"/>
  <c r="I11" i="1"/>
  <c r="K9" i="1"/>
  <c r="I9" i="1"/>
  <c r="K8" i="1"/>
  <c r="I8" i="1"/>
  <c r="K7" i="1"/>
  <c r="I7" i="1"/>
  <c r="K3" i="1"/>
  <c r="I3" i="1"/>
  <c r="I3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tc={7EAE6D06-E86E-4FA7-91AC-500C703855AC}</author>
  </authors>
  <commentList>
    <comment ref="C1" authorId="0" shapeId="0" xr:uid="{7EAE6D06-E86E-4FA7-91AC-500C703855A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Loss on ignition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tc={D79049B7-EC63-4BAA-ABB2-3791841AF408}</author>
  </authors>
  <commentList>
    <comment ref="H2" authorId="0" shapeId="0" xr:uid="{D79049B7-EC63-4BAA-ABB2-3791841AF40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 - in thousands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tc={B5F1CC1A-FD8F-497C-8AF7-3834ECD57CA0}</author>
  </authors>
  <commentList>
    <comment ref="D2" authorId="0" shapeId="0" xr:uid="{B5F1CC1A-FD8F-497C-8AF7-3834ECD57CA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Loss on ignition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tc={94CE3225-267C-458D-A98B-7F90C7082C8F}</author>
  </authors>
  <commentList>
    <comment ref="C2" authorId="0" shapeId="0" xr:uid="{94CE3225-267C-458D-A98B-7F90C7082C8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Loss on igition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tc={F5121AF1-83DD-4185-8F7A-3B820E19094C}</author>
  </authors>
  <commentList>
    <comment ref="D14" authorId="0" shapeId="0" xr:uid="{F5121AF1-83DD-4185-8F7A-3B820E19094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Loss on ignition</t>
      </text>
    </comment>
  </commentList>
</comments>
</file>

<file path=xl/sharedStrings.xml><?xml version="1.0" encoding="utf-8"?>
<sst xmlns="http://schemas.openxmlformats.org/spreadsheetml/2006/main" count="888" uniqueCount="281">
  <si>
    <t>Mineral resource</t>
  </si>
  <si>
    <t>Nr</t>
  </si>
  <si>
    <t>Deposit</t>
  </si>
  <si>
    <t>Mining field</t>
  </si>
  <si>
    <t>Permit number</t>
  </si>
  <si>
    <t>Permit owner</t>
  </si>
  <si>
    <r>
      <t>Mined in 2018, K m</t>
    </r>
    <r>
      <rPr>
        <b/>
        <vertAlign val="superscript"/>
        <sz val="11"/>
        <rFont val="Aptos Narrow"/>
        <family val="2"/>
        <charset val="186"/>
        <scheme val="minor"/>
      </rPr>
      <t>3</t>
    </r>
  </si>
  <si>
    <r>
      <t>Total mined in deposit, K m</t>
    </r>
    <r>
      <rPr>
        <b/>
        <vertAlign val="superscript"/>
        <sz val="11"/>
        <rFont val="Aptos Narrow"/>
        <family val="2"/>
        <charset val="186"/>
        <scheme val="minor"/>
      </rPr>
      <t>3 (2018)</t>
    </r>
  </si>
  <si>
    <t>Number of samples</t>
  </si>
  <si>
    <t>Number of samples in deposit</t>
  </si>
  <si>
    <t>Limestone</t>
  </si>
  <si>
    <t>Harku</t>
  </si>
  <si>
    <t>Harku V lubjakivikarjäär</t>
  </si>
  <si>
    <t>KMIN-123</t>
  </si>
  <si>
    <t>Balti Kivi OÜ</t>
  </si>
  <si>
    <t>Harku IV lubjakivikarjäär</t>
  </si>
  <si>
    <t>KMIN-096</t>
  </si>
  <si>
    <t>Harku Karjäär AS</t>
  </si>
  <si>
    <t>Harku II lubjakivikarjäär</t>
  </si>
  <si>
    <t>KMIN-086</t>
  </si>
  <si>
    <t>Harku karjäär</t>
  </si>
  <si>
    <t>KMIN-038</t>
  </si>
  <si>
    <t>Maardu</t>
  </si>
  <si>
    <t>Maardu II lubjakivikarjäär</t>
  </si>
  <si>
    <t>HARM-142</t>
  </si>
  <si>
    <t>Starhill OÜ</t>
  </si>
  <si>
    <t>Vasalemma</t>
  </si>
  <si>
    <t>Vasalemma karjäär</t>
  </si>
  <si>
    <t>KMIN-032</t>
  </si>
  <si>
    <t>Nordkalk AS</t>
  </si>
  <si>
    <t>Väo</t>
  </si>
  <si>
    <t>Väo V lubjakivikarjäär</t>
  </si>
  <si>
    <t>HARM-137</t>
  </si>
  <si>
    <t>Väo Paas OÜ</t>
  </si>
  <si>
    <t>Väo lubjakivikarjäär</t>
  </si>
  <si>
    <t>KMIN-129</t>
  </si>
  <si>
    <t>Paekivitoodete Tehase OÜ</t>
  </si>
  <si>
    <t>Suurkõrtsi</t>
  </si>
  <si>
    <t>Suurkõrtsi lubjakivikarjäär</t>
  </si>
  <si>
    <t>L.MK/317612</t>
  </si>
  <si>
    <t>Kiviluks AS</t>
  </si>
  <si>
    <t>Pajusi</t>
  </si>
  <si>
    <t>Otisaare lubjakivikarjäär</t>
  </si>
  <si>
    <t>L.MK/329511</t>
  </si>
  <si>
    <t>Kaltsiit AS</t>
  </si>
  <si>
    <t>Sopimetsa</t>
  </si>
  <si>
    <t>Sopimetsa II lubjakivikarjäär</t>
  </si>
  <si>
    <t>L.MK/319345</t>
  </si>
  <si>
    <t>Moreen OÜ</t>
  </si>
  <si>
    <t>Eivere</t>
  </si>
  <si>
    <t>Eivere II lubjakivikarjäär</t>
  </si>
  <si>
    <t>JARM-021</t>
  </si>
  <si>
    <t>Eesti Killustik OÜ</t>
  </si>
  <si>
    <t>Eivere lubjakivikarjäär</t>
  </si>
  <si>
    <t>7/2004</t>
  </si>
  <si>
    <t xml:space="preserve">Pusku </t>
  </si>
  <si>
    <t>Pusku lubjakivikarjäär</t>
  </si>
  <si>
    <t>LMKL-004</t>
  </si>
  <si>
    <t>Ungru Paekivi OÜ</t>
  </si>
  <si>
    <t>Kunda</t>
  </si>
  <si>
    <t>Aru-Lõuna lubjakivikarjäär</t>
  </si>
  <si>
    <t>KMIN-050</t>
  </si>
  <si>
    <t>Kunda Nordic Tsement AS</t>
  </si>
  <si>
    <t>Lubja</t>
  </si>
  <si>
    <t>Lubja lubjakivikarjäär</t>
  </si>
  <si>
    <t>RAPM-091</t>
  </si>
  <si>
    <t>Orava</t>
  </si>
  <si>
    <t>Orava lubjakivikarjäär</t>
  </si>
  <si>
    <t>RAPM-034</t>
  </si>
  <si>
    <t>Orgita Dolomiiditooted OÜ</t>
  </si>
  <si>
    <t>Reinu</t>
  </si>
  <si>
    <t>Reinu lubjakivikarjäär</t>
  </si>
  <si>
    <t>RAPM-042</t>
  </si>
  <si>
    <t>TREV-2 Grupp AS</t>
  </si>
  <si>
    <t>Sutlema</t>
  </si>
  <si>
    <t>Sutlema I lubjakivikarjäär</t>
  </si>
  <si>
    <t>RAPM-059</t>
  </si>
  <si>
    <t>Kiirkandur AS</t>
  </si>
  <si>
    <t>Dolostone</t>
  </si>
  <si>
    <t>Rõstla</t>
  </si>
  <si>
    <t>Rõstla dolokivikarjäär</t>
  </si>
  <si>
    <t>L.MK/328523</t>
  </si>
  <si>
    <t>Kareda</t>
  </si>
  <si>
    <t>Kareda dolomiidikarjäär</t>
  </si>
  <si>
    <t>L.MK/300504</t>
  </si>
  <si>
    <t>Anelema</t>
  </si>
  <si>
    <t>Anelema II dolokivikarjäär</t>
  </si>
  <si>
    <t>KMIN-121</t>
  </si>
  <si>
    <t>Forek OÜ</t>
  </si>
  <si>
    <t>Anelema dolokivikarjäär</t>
  </si>
  <si>
    <t>KMIN-083</t>
  </si>
  <si>
    <t>Marinova</t>
  </si>
  <si>
    <t>Marinova II dolokivikarjäär</t>
  </si>
  <si>
    <t>L.MK/326117</t>
  </si>
  <si>
    <t>Aigren OÜ</t>
  </si>
  <si>
    <t>Marinova dolokivikarjäär</t>
  </si>
  <si>
    <t>L.MK/325632</t>
  </si>
  <si>
    <t>TREV-2 Grupp OÜ</t>
  </si>
  <si>
    <t>SUM</t>
  </si>
  <si>
    <t>Sample number</t>
  </si>
  <si>
    <t>Mining company</t>
  </si>
  <si>
    <t>Mining face locatin when taking sample from production L-EST97 coordinates</t>
  </si>
  <si>
    <t>X</t>
  </si>
  <si>
    <t>Y</t>
  </si>
  <si>
    <t>SK-2019-2-A</t>
  </si>
  <si>
    <t>SK-2019-3-A</t>
  </si>
  <si>
    <t>SK-2020-37-A</t>
  </si>
  <si>
    <t>SK-2020-38-A</t>
  </si>
  <si>
    <t>stockpile</t>
  </si>
  <si>
    <t>SK-2020-39-A</t>
  </si>
  <si>
    <t>SK-2020-40-A</t>
  </si>
  <si>
    <t>SK-2020-41-A</t>
  </si>
  <si>
    <t>SK-2020-42-A</t>
  </si>
  <si>
    <t>SK-2020-46-A</t>
  </si>
  <si>
    <t>SK-2020-47-A</t>
  </si>
  <si>
    <t>SK-2020-58-A</t>
  </si>
  <si>
    <t>SK-2019-1-A</t>
  </si>
  <si>
    <t>SK-2019-4-A</t>
  </si>
  <si>
    <t>SK-2020-48-A</t>
  </si>
  <si>
    <t>SK-2020-49-A</t>
  </si>
  <si>
    <t>SK-2020-50-A</t>
  </si>
  <si>
    <t>SK-2020-59-A</t>
  </si>
  <si>
    <t>SK-2020-60-A</t>
  </si>
  <si>
    <t>SK-2020-22-A</t>
  </si>
  <si>
    <t>SK-2020-23-A</t>
  </si>
  <si>
    <t>SK-2020-24-A</t>
  </si>
  <si>
    <t>SK-2020-53-A</t>
  </si>
  <si>
    <t>SK-2020-54-A</t>
  </si>
  <si>
    <t>SK-2020-55-A</t>
  </si>
  <si>
    <t>SK-2020-5-A</t>
  </si>
  <si>
    <t>SK-2020-6-A</t>
  </si>
  <si>
    <t>SK-2020-32-A</t>
  </si>
  <si>
    <t>SK-2020-33-A</t>
  </si>
  <si>
    <t>SK-2020-30-A</t>
  </si>
  <si>
    <t>SK-2020-31-A</t>
  </si>
  <si>
    <t>SK-2020-34-A</t>
  </si>
  <si>
    <t>SK-2020-35-A</t>
  </si>
  <si>
    <t>SK-2020-15-A</t>
  </si>
  <si>
    <t>SK-2020-16-A</t>
  </si>
  <si>
    <t>SK-2020-12-A</t>
  </si>
  <si>
    <t>SK-2020-13-A</t>
  </si>
  <si>
    <t>SK-2020-36-A</t>
  </si>
  <si>
    <t>Pusku</t>
  </si>
  <si>
    <t>SK-2020-7-A</t>
  </si>
  <si>
    <t>SK-2020-11-A</t>
  </si>
  <si>
    <t>SK-2020-14-A</t>
  </si>
  <si>
    <t>Both, limestone and dolostone mined</t>
  </si>
  <si>
    <t>SK-2020-19-A</t>
  </si>
  <si>
    <t>SK-2020-20-A</t>
  </si>
  <si>
    <t>SK-2020-21-A</t>
  </si>
  <si>
    <t>SK-2020-56-A</t>
  </si>
  <si>
    <t>SK-2020-57-A</t>
  </si>
  <si>
    <t>SK-2020-27-A</t>
  </si>
  <si>
    <t>SK-2020-28-A</t>
  </si>
  <si>
    <t>SK-2020-29-A</t>
  </si>
  <si>
    <t>SK-2020-25-A</t>
  </si>
  <si>
    <t>SK-2020-26-A</t>
  </si>
  <si>
    <t>SK-2020-51-A</t>
  </si>
  <si>
    <t>SK-2020-52-A</t>
  </si>
  <si>
    <t>SK-2020-8-A</t>
  </si>
  <si>
    <t>SK-2020-9-A</t>
  </si>
  <si>
    <t>SK-2020-10-A</t>
  </si>
  <si>
    <t>SK-2020-43-A</t>
  </si>
  <si>
    <t>SK-2020-44-A</t>
  </si>
  <si>
    <t>SK-2020-45-A</t>
  </si>
  <si>
    <t>SK-2020-17-A</t>
  </si>
  <si>
    <t>SK-2020-18-A</t>
  </si>
  <si>
    <t>Weight, g</t>
  </si>
  <si>
    <t>Water content, %</t>
  </si>
  <si>
    <t>Before screening, g</t>
  </si>
  <si>
    <t>Weight on screen, g</t>
  </si>
  <si>
    <t>Wet</t>
  </si>
  <si>
    <t>Dry</t>
  </si>
  <si>
    <t>Difference</t>
  </si>
  <si>
    <t>Left on screen, %</t>
  </si>
  <si>
    <t>Bottom</t>
  </si>
  <si>
    <t>LOI 950 °C</t>
  </si>
  <si>
    <t>Content, %</t>
  </si>
  <si>
    <r>
      <t>SiO</t>
    </r>
    <r>
      <rPr>
        <b/>
        <vertAlign val="subscript"/>
        <sz val="11"/>
        <color theme="1"/>
        <rFont val="Aptos Narrow"/>
        <family val="2"/>
        <charset val="186"/>
        <scheme val="minor"/>
      </rPr>
      <t>2</t>
    </r>
  </si>
  <si>
    <r>
      <t>TiO</t>
    </r>
    <r>
      <rPr>
        <b/>
        <vertAlign val="subscript"/>
        <sz val="11"/>
        <color theme="1"/>
        <rFont val="Aptos Narrow"/>
        <family val="2"/>
        <charset val="186"/>
        <scheme val="minor"/>
      </rPr>
      <t>2</t>
    </r>
  </si>
  <si>
    <r>
      <t>Al</t>
    </r>
    <r>
      <rPr>
        <b/>
        <vertAlign val="subscript"/>
        <sz val="11"/>
        <color theme="1"/>
        <rFont val="Aptos Narrow"/>
        <family val="2"/>
        <charset val="186"/>
        <scheme val="minor"/>
      </rPr>
      <t>2</t>
    </r>
    <r>
      <rPr>
        <b/>
        <sz val="11"/>
        <color theme="1"/>
        <rFont val="Aptos Narrow"/>
        <family val="2"/>
        <charset val="186"/>
        <scheme val="minor"/>
      </rPr>
      <t>O</t>
    </r>
    <r>
      <rPr>
        <b/>
        <vertAlign val="subscript"/>
        <sz val="11"/>
        <color theme="1"/>
        <rFont val="Aptos Narrow"/>
        <family val="2"/>
        <charset val="186"/>
        <scheme val="minor"/>
      </rPr>
      <t>3</t>
    </r>
  </si>
  <si>
    <r>
      <t>Fe</t>
    </r>
    <r>
      <rPr>
        <b/>
        <vertAlign val="subscript"/>
        <sz val="11"/>
        <color theme="1"/>
        <rFont val="Aptos Narrow"/>
        <family val="2"/>
        <charset val="186"/>
        <scheme val="minor"/>
      </rPr>
      <t>2</t>
    </r>
    <r>
      <rPr>
        <b/>
        <sz val="11"/>
        <color theme="1"/>
        <rFont val="Aptos Narrow"/>
        <family val="2"/>
        <charset val="186"/>
        <scheme val="minor"/>
      </rPr>
      <t>O</t>
    </r>
    <r>
      <rPr>
        <b/>
        <vertAlign val="subscript"/>
        <sz val="11"/>
        <color theme="1"/>
        <rFont val="Aptos Narrow"/>
        <family val="2"/>
        <charset val="186"/>
        <scheme val="minor"/>
      </rPr>
      <t>3</t>
    </r>
  </si>
  <si>
    <t>MnO</t>
  </si>
  <si>
    <t>MgO</t>
  </si>
  <si>
    <t>CaO</t>
  </si>
  <si>
    <r>
      <t>Na</t>
    </r>
    <r>
      <rPr>
        <b/>
        <vertAlign val="subscript"/>
        <sz val="11"/>
        <color theme="1"/>
        <rFont val="Aptos Narrow"/>
        <family val="2"/>
        <charset val="186"/>
        <scheme val="minor"/>
      </rPr>
      <t>2</t>
    </r>
    <r>
      <rPr>
        <b/>
        <sz val="11"/>
        <color theme="1"/>
        <rFont val="Aptos Narrow"/>
        <family val="2"/>
        <charset val="186"/>
        <scheme val="minor"/>
      </rPr>
      <t>O</t>
    </r>
  </si>
  <si>
    <r>
      <t>K</t>
    </r>
    <r>
      <rPr>
        <b/>
        <vertAlign val="subscript"/>
        <sz val="11"/>
        <color theme="1"/>
        <rFont val="Aptos Narrow"/>
        <family val="2"/>
        <charset val="186"/>
        <scheme val="minor"/>
      </rPr>
      <t>2</t>
    </r>
    <r>
      <rPr>
        <b/>
        <sz val="11"/>
        <color theme="1"/>
        <rFont val="Aptos Narrow"/>
        <family val="2"/>
        <charset val="186"/>
        <scheme val="minor"/>
      </rPr>
      <t>O</t>
    </r>
  </si>
  <si>
    <r>
      <t>P</t>
    </r>
    <r>
      <rPr>
        <b/>
        <vertAlign val="subscript"/>
        <sz val="11"/>
        <color theme="1"/>
        <rFont val="Aptos Narrow"/>
        <family val="2"/>
        <charset val="186"/>
        <scheme val="minor"/>
      </rPr>
      <t>2</t>
    </r>
    <r>
      <rPr>
        <b/>
        <sz val="11"/>
        <color theme="1"/>
        <rFont val="Aptos Narrow"/>
        <family val="2"/>
        <charset val="186"/>
        <scheme val="minor"/>
      </rPr>
      <t>O</t>
    </r>
    <r>
      <rPr>
        <b/>
        <vertAlign val="subscript"/>
        <sz val="11"/>
        <color theme="1"/>
        <rFont val="Aptos Narrow"/>
        <family val="2"/>
        <charset val="186"/>
        <scheme val="minor"/>
      </rPr>
      <t>5</t>
    </r>
  </si>
  <si>
    <r>
      <t>SO</t>
    </r>
    <r>
      <rPr>
        <b/>
        <vertAlign val="subscript"/>
        <sz val="11"/>
        <color theme="1"/>
        <rFont val="Aptos Narrow"/>
        <family val="2"/>
        <charset val="186"/>
        <scheme val="minor"/>
      </rPr>
      <t>3</t>
    </r>
  </si>
  <si>
    <t xml:space="preserve"> &lt; 3,2%</t>
  </si>
  <si>
    <t>CaO &gt; 44%</t>
  </si>
  <si>
    <t>&lt; 0,5%</t>
  </si>
  <si>
    <t>Sample</t>
  </si>
  <si>
    <t>LOI 950</t>
  </si>
  <si>
    <t>SiO2 (%)</t>
  </si>
  <si>
    <t>TiO2 (%)</t>
  </si>
  <si>
    <t>Al2O3 (%)</t>
  </si>
  <si>
    <t>Fe2O3 (%)</t>
  </si>
  <si>
    <t>MnO (%)</t>
  </si>
  <si>
    <t>MgO (%)</t>
  </si>
  <si>
    <t>CaO (%)</t>
  </si>
  <si>
    <t>Na2O (%)</t>
  </si>
  <si>
    <t>K2O (%)</t>
  </si>
  <si>
    <t>P2O5 (%)</t>
  </si>
  <si>
    <t>SO3 (%)</t>
  </si>
  <si>
    <t>I</t>
  </si>
  <si>
    <t>Otisaare</t>
  </si>
  <si>
    <t>Info from Heidelberg guys:</t>
  </si>
  <si>
    <t>II</t>
  </si>
  <si>
    <r>
      <t xml:space="preserve">It is important that </t>
    </r>
    <r>
      <rPr>
        <b/>
        <sz val="11"/>
        <color theme="1"/>
        <rFont val="Aptos Narrow"/>
        <family val="2"/>
        <charset val="186"/>
        <scheme val="minor"/>
      </rPr>
      <t>CaO &gt; 44%</t>
    </r>
  </si>
  <si>
    <r>
      <t>MgO &lt;</t>
    </r>
    <r>
      <rPr>
        <b/>
        <sz val="11"/>
        <color theme="1"/>
        <rFont val="Aptos Narrow"/>
        <family val="2"/>
        <charset val="186"/>
        <scheme val="minor"/>
      </rPr>
      <t xml:space="preserve"> 3,2%</t>
    </r>
  </si>
  <si>
    <t>III</t>
  </si>
  <si>
    <r>
      <t>P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 xml:space="preserve"> &lt; </t>
    </r>
    <r>
      <rPr>
        <b/>
        <sz val="11"/>
        <color theme="1"/>
        <rFont val="Aptos Narrow"/>
        <family val="2"/>
        <charset val="186"/>
        <scheme val="minor"/>
      </rPr>
      <t>0,5%</t>
    </r>
  </si>
  <si>
    <t>IV</t>
  </si>
  <si>
    <t>These three are most important, other are measured on specia occasion</t>
  </si>
  <si>
    <t>V</t>
  </si>
  <si>
    <t>VI</t>
  </si>
  <si>
    <t>And extra becouse it made sample selection easier:</t>
  </si>
  <si>
    <r>
      <t>SiO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12-16%</t>
    </r>
  </si>
  <si>
    <t>These two indicate clay</t>
  </si>
  <si>
    <r>
      <t>Al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2-5%</t>
    </r>
  </si>
  <si>
    <r>
      <t>Fe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&lt;2%</t>
    </r>
  </si>
  <si>
    <t>Crucible, g</t>
  </si>
  <si>
    <t>Sample, g</t>
  </si>
  <si>
    <t>C+S, g</t>
  </si>
  <si>
    <r>
      <t>800</t>
    </r>
    <r>
      <rPr>
        <sz val="11"/>
        <color theme="1"/>
        <rFont val="Calibri"/>
        <family val="2"/>
        <charset val="186"/>
      </rPr>
      <t>°</t>
    </r>
    <r>
      <rPr>
        <sz val="11"/>
        <color theme="1"/>
        <rFont val="Aptos Narrow"/>
        <family val="2"/>
        <charset val="186"/>
        <scheme val="minor"/>
      </rPr>
      <t>C</t>
    </r>
  </si>
  <si>
    <t>LOI</t>
  </si>
  <si>
    <t>%</t>
  </si>
  <si>
    <t>Mineral</t>
  </si>
  <si>
    <t>Wt% Rietveld</t>
  </si>
  <si>
    <t>SK-2020-4-A</t>
  </si>
  <si>
    <t>Klinker</t>
  </si>
  <si>
    <t>a</t>
  </si>
  <si>
    <t>b</t>
  </si>
  <si>
    <t>Calcite CaCO3</t>
  </si>
  <si>
    <t>Lime CaO</t>
  </si>
  <si>
    <t>Periclase MgO</t>
  </si>
  <si>
    <t>Cement minerals and their content:</t>
  </si>
  <si>
    <t>Larnite (belite) Ca2SiO4</t>
  </si>
  <si>
    <t>Belite</t>
  </si>
  <si>
    <t>15-35%</t>
  </si>
  <si>
    <t>Browmillerite CaAlFeO5</t>
  </si>
  <si>
    <t>Browmillerite</t>
  </si>
  <si>
    <t>10-18%</t>
  </si>
  <si>
    <t>Alite_P-1 Ca3SiO5</t>
  </si>
  <si>
    <t>Alite</t>
  </si>
  <si>
    <t>45-60%</t>
  </si>
  <si>
    <t>Ca-aluminate Ca3Al2O6</t>
  </si>
  <si>
    <t>Ca-aluminate</t>
  </si>
  <si>
    <t>Ca-olivine Ca2SiO4</t>
  </si>
  <si>
    <t xml:space="preserve">CaO </t>
  </si>
  <si>
    <t>&lt;1%</t>
  </si>
  <si>
    <t>Melilite</t>
  </si>
  <si>
    <t>XRD poolkvantitatiivne analüüs, kristallfaaside ligikaudsed proportsioonid</t>
  </si>
  <si>
    <t>2 (tume)</t>
  </si>
  <si>
    <t>3 (tume)</t>
  </si>
  <si>
    <t>4 (tume)</t>
  </si>
  <si>
    <t>5b (tume)</t>
  </si>
  <si>
    <t>6 (tume)</t>
  </si>
  <si>
    <t>1 (hele</t>
  </si>
  <si>
    <t>5a (hele</t>
  </si>
  <si>
    <t>klinker</t>
  </si>
  <si>
    <t>pulber)</t>
  </si>
  <si>
    <t>Phase Name</t>
  </si>
  <si>
    <t>Calcite</t>
  </si>
  <si>
    <r>
      <t>CaCO</t>
    </r>
    <r>
      <rPr>
        <vertAlign val="subscript"/>
        <sz val="11"/>
        <color theme="1"/>
        <rFont val="Aptos Narrow"/>
        <family val="2"/>
        <scheme val="minor"/>
      </rPr>
      <t>3</t>
    </r>
  </si>
  <si>
    <t>Lime</t>
  </si>
  <si>
    <t>Periclase</t>
  </si>
  <si>
    <t>Larnite (belite)</t>
  </si>
  <si>
    <r>
      <t>Ca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186"/>
        <scheme val="minor"/>
      </rPr>
      <t>SiO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</si>
  <si>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CaAlFeO</t>
    </r>
    <r>
      <rPr>
        <vertAlign val="subscript"/>
        <sz val="11"/>
        <color theme="1"/>
        <rFont val="Aptos Narrow"/>
        <family val="2"/>
        <scheme val="minor"/>
      </rPr>
      <t>5</t>
    </r>
  </si>
  <si>
    <t>Alite_P-1</t>
  </si>
  <si>
    <r>
      <t>Ca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186"/>
        <scheme val="minor"/>
      </rPr>
      <t>SiO</t>
    </r>
    <r>
      <rPr>
        <vertAlign val="subscript"/>
        <sz val="11"/>
        <color theme="1"/>
        <rFont val="Aptos Narrow"/>
        <family val="2"/>
        <scheme val="minor"/>
      </rPr>
      <t>5</t>
    </r>
  </si>
  <si>
    <r>
      <t>Ca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186"/>
        <scheme val="minor"/>
      </rPr>
      <t>Al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186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6</t>
    </r>
  </si>
  <si>
    <t>Ca-olivine</t>
  </si>
  <si>
    <t>lisandid</t>
  </si>
  <si>
    <t>2.713 Å</t>
  </si>
  <si>
    <t>11 refleksi</t>
  </si>
  <si>
    <t>9 refleksi</t>
  </si>
  <si>
    <t xml:space="preserve">These are original results from lab, "XRD results"  info is from this </t>
  </si>
  <si>
    <t>Limestone and Dolostone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</si>
</sst>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b/>
      <sz val="11"/>
      <name val="Aptos Narrow"/>
      <family val="2"/>
      <charset val="186"/>
      <scheme val="minor"/>
    </font>
    <font>
      <b/>
      <vertAlign val="superscript"/>
      <sz val="11"/>
      <name val="Aptos Narrow"/>
      <family val="2"/>
      <charset val="186"/>
      <scheme val="minor"/>
    </font>
    <font>
      <sz val="11"/>
      <name val="Aptos Narrow"/>
      <family val="2"/>
      <charset val="186"/>
      <scheme val="minor"/>
    </font>
    <font>
      <b/>
      <sz val="10"/>
      <color theme="1"/>
      <name val="Aptos Narrow"/>
      <family val="2"/>
      <charset val="186"/>
      <scheme val="minor"/>
    </font>
    <font>
      <sz val="10"/>
      <color theme="1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charset val="186"/>
      <scheme val="minor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  <charset val="186"/>
    </font>
    <font>
      <sz val="12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23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4" fillId="0" borderId="2" xfId="0" applyFont="1" applyBorder="1" applyAlignment="1">
      <alignment horizontal="right"/>
    </xf>
    <xf numFmtId="1" fontId="4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1" fontId="0" fillId="2" borderId="1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1" fontId="0" fillId="2" borderId="5" xfId="0" applyNumberFormat="1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164" fontId="8" fillId="2" borderId="1" xfId="0" applyNumberFormat="1" applyFont="1" applyFill="1" applyBorder="1" applyAlignment="1">
      <alignment horizontal="center"/>
    </xf>
    <xf numFmtId="1" fontId="8" fillId="2" borderId="1" xfId="0" applyNumberFormat="1" applyFont="1" applyFill="1" applyBorder="1"/>
    <xf numFmtId="1" fontId="7" fillId="2" borderId="1" xfId="0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/>
    <xf numFmtId="1" fontId="7" fillId="0" borderId="1" xfId="0" applyNumberFormat="1" applyFont="1" applyBorder="1"/>
    <xf numFmtId="0" fontId="9" fillId="0" borderId="0" xfId="1"/>
    <xf numFmtId="0" fontId="3" fillId="0" borderId="1" xfId="1" applyFont="1" applyBorder="1" applyAlignment="1">
      <alignment horizontal="center" vertical="center"/>
    </xf>
    <xf numFmtId="0" fontId="9" fillId="2" borderId="1" xfId="1" applyFill="1" applyBorder="1" applyAlignment="1">
      <alignment horizontal="center" vertical="center"/>
    </xf>
    <xf numFmtId="0" fontId="9" fillId="2" borderId="1" xfId="1" applyFill="1" applyBorder="1"/>
    <xf numFmtId="2" fontId="9" fillId="2" borderId="1" xfId="1" applyNumberFormat="1" applyFill="1" applyBorder="1"/>
    <xf numFmtId="49" fontId="9" fillId="2" borderId="1" xfId="1" applyNumberFormat="1" applyFill="1" applyBorder="1"/>
    <xf numFmtId="2" fontId="9" fillId="2" borderId="1" xfId="1" applyNumberFormat="1" applyFill="1" applyBorder="1" applyAlignment="1">
      <alignment horizontal="right"/>
    </xf>
    <xf numFmtId="0" fontId="9" fillId="0" borderId="1" xfId="1" applyBorder="1" applyAlignment="1">
      <alignment horizontal="center" vertical="center"/>
    </xf>
    <xf numFmtId="0" fontId="9" fillId="0" borderId="1" xfId="1" applyBorder="1"/>
    <xf numFmtId="2" fontId="9" fillId="0" borderId="1" xfId="1" applyNumberFormat="1" applyBorder="1"/>
    <xf numFmtId="0" fontId="9" fillId="3" borderId="1" xfId="1" applyFill="1" applyBorder="1"/>
    <xf numFmtId="2" fontId="9" fillId="3" borderId="1" xfId="1" applyNumberFormat="1" applyFill="1" applyBorder="1"/>
    <xf numFmtId="49" fontId="9" fillId="3" borderId="1" xfId="1" applyNumberFormat="1" applyFill="1" applyBorder="1"/>
    <xf numFmtId="2" fontId="9" fillId="3" borderId="1" xfId="1" applyNumberFormat="1" applyFill="1" applyBorder="1" applyAlignment="1">
      <alignment horizontal="right"/>
    </xf>
    <xf numFmtId="49" fontId="9" fillId="0" borderId="1" xfId="1" applyNumberFormat="1" applyBorder="1"/>
    <xf numFmtId="0" fontId="3" fillId="0" borderId="1" xfId="1" applyFont="1" applyBorder="1" applyAlignment="1">
      <alignment horizontal="center" vertical="center" wrapText="1"/>
    </xf>
    <xf numFmtId="0" fontId="11" fillId="0" borderId="0" xfId="1" applyFont="1"/>
    <xf numFmtId="0" fontId="9" fillId="0" borderId="1" xfId="1" applyBorder="1" applyAlignment="1">
      <alignment horizontal="right"/>
    </xf>
    <xf numFmtId="0" fontId="11" fillId="0" borderId="1" xfId="1" applyFont="1" applyBorder="1" applyAlignment="1">
      <alignment horizontal="right"/>
    </xf>
    <xf numFmtId="0" fontId="9" fillId="4" borderId="1" xfId="1" applyFill="1" applyBorder="1"/>
    <xf numFmtId="164" fontId="9" fillId="4" borderId="1" xfId="1" applyNumberFormat="1" applyFill="1" applyBorder="1"/>
    <xf numFmtId="2" fontId="11" fillId="4" borderId="1" xfId="1" applyNumberFormat="1" applyFont="1" applyFill="1" applyBorder="1"/>
    <xf numFmtId="2" fontId="3" fillId="4" borderId="1" xfId="1" applyNumberFormat="1" applyFont="1" applyFill="1" applyBorder="1"/>
    <xf numFmtId="164" fontId="9" fillId="0" borderId="1" xfId="1" applyNumberFormat="1" applyBorder="1"/>
    <xf numFmtId="2" fontId="11" fillId="0" borderId="1" xfId="1" applyNumberFormat="1" applyFont="1" applyBorder="1"/>
    <xf numFmtId="2" fontId="12" fillId="0" borderId="1" xfId="1" applyNumberFormat="1" applyFont="1" applyBorder="1"/>
    <xf numFmtId="165" fontId="11" fillId="4" borderId="1" xfId="1" applyNumberFormat="1" applyFont="1" applyFill="1" applyBorder="1"/>
    <xf numFmtId="165" fontId="3" fillId="4" borderId="1" xfId="1" applyNumberFormat="1" applyFont="1" applyFill="1" applyBorder="1"/>
    <xf numFmtId="164" fontId="9" fillId="0" borderId="1" xfId="1" applyNumberFormat="1" applyBorder="1" applyAlignment="1">
      <alignment horizontal="right"/>
    </xf>
    <xf numFmtId="165" fontId="11" fillId="0" borderId="1" xfId="1" applyNumberFormat="1" applyFont="1" applyBorder="1" applyAlignment="1">
      <alignment horizontal="right"/>
    </xf>
    <xf numFmtId="165" fontId="9" fillId="0" borderId="1" xfId="1" applyNumberFormat="1" applyBorder="1" applyAlignment="1">
      <alignment horizontal="right"/>
    </xf>
    <xf numFmtId="165" fontId="12" fillId="0" borderId="1" xfId="1" applyNumberFormat="1" applyFont="1" applyBorder="1" applyAlignment="1">
      <alignment horizontal="right"/>
    </xf>
    <xf numFmtId="49" fontId="9" fillId="5" borderId="1" xfId="1" applyNumberFormat="1" applyFill="1" applyBorder="1"/>
    <xf numFmtId="164" fontId="9" fillId="3" borderId="1" xfId="1" applyNumberFormat="1" applyFill="1" applyBorder="1" applyAlignment="1">
      <alignment horizontal="right"/>
    </xf>
    <xf numFmtId="165" fontId="11" fillId="3" borderId="1" xfId="1" applyNumberFormat="1" applyFont="1" applyFill="1" applyBorder="1" applyAlignment="1">
      <alignment horizontal="right"/>
    </xf>
    <xf numFmtId="165" fontId="9" fillId="3" borderId="1" xfId="1" applyNumberFormat="1" applyFill="1" applyBorder="1" applyAlignment="1">
      <alignment horizontal="right"/>
    </xf>
    <xf numFmtId="165" fontId="12" fillId="3" borderId="1" xfId="1" applyNumberFormat="1" applyFont="1" applyFill="1" applyBorder="1" applyAlignment="1">
      <alignment horizontal="right"/>
    </xf>
    <xf numFmtId="0" fontId="9" fillId="5" borderId="1" xfId="1" applyFill="1" applyBorder="1"/>
    <xf numFmtId="164" fontId="9" fillId="3" borderId="1" xfId="1" applyNumberFormat="1" applyFill="1" applyBorder="1"/>
    <xf numFmtId="164" fontId="11" fillId="3" borderId="1" xfId="1" applyNumberFormat="1" applyFont="1" applyFill="1" applyBorder="1"/>
    <xf numFmtId="2" fontId="11" fillId="3" borderId="1" xfId="1" applyNumberFormat="1" applyFont="1" applyFill="1" applyBorder="1"/>
    <xf numFmtId="165" fontId="11" fillId="3" borderId="1" xfId="1" applyNumberFormat="1" applyFont="1" applyFill="1" applyBorder="1"/>
    <xf numFmtId="164" fontId="12" fillId="3" borderId="1" xfId="1" applyNumberFormat="1" applyFont="1" applyFill="1" applyBorder="1"/>
    <xf numFmtId="164" fontId="11" fillId="0" borderId="1" xfId="1" applyNumberFormat="1" applyFont="1" applyBorder="1"/>
    <xf numFmtId="165" fontId="11" fillId="0" borderId="1" xfId="1" applyNumberFormat="1" applyFont="1" applyBorder="1"/>
    <xf numFmtId="165" fontId="9" fillId="0" borderId="1" xfId="1" applyNumberFormat="1" applyBorder="1"/>
    <xf numFmtId="164" fontId="9" fillId="0" borderId="0" xfId="1" applyNumberFormat="1"/>
    <xf numFmtId="0" fontId="0" fillId="3" borderId="1" xfId="0" applyFill="1" applyBorder="1"/>
    <xf numFmtId="164" fontId="2" fillId="3" borderId="1" xfId="0" applyNumberFormat="1" applyFont="1" applyFill="1" applyBorder="1"/>
    <xf numFmtId="2" fontId="2" fillId="3" borderId="1" xfId="0" applyNumberFormat="1" applyFont="1" applyFill="1" applyBorder="1"/>
    <xf numFmtId="49" fontId="0" fillId="3" borderId="1" xfId="0" applyNumberFormat="1" applyFill="1" applyBorder="1"/>
    <xf numFmtId="164" fontId="2" fillId="3" borderId="1" xfId="0" applyNumberFormat="1" applyFont="1" applyFill="1" applyBorder="1" applyAlignment="1">
      <alignment horizontal="right"/>
    </xf>
    <xf numFmtId="2" fontId="2" fillId="3" borderId="1" xfId="0" applyNumberFormat="1" applyFont="1" applyFill="1" applyBorder="1" applyAlignment="1">
      <alignment horizontal="right"/>
    </xf>
    <xf numFmtId="0" fontId="14" fillId="6" borderId="6" xfId="1" applyFont="1" applyFill="1" applyBorder="1"/>
    <xf numFmtId="0" fontId="9" fillId="0" borderId="0" xfId="1" applyAlignment="1">
      <alignment horizontal="right"/>
    </xf>
    <xf numFmtId="0" fontId="16" fillId="0" borderId="0" xfId="1" applyFont="1"/>
    <xf numFmtId="0" fontId="3" fillId="0" borderId="1" xfId="1" applyFont="1" applyBorder="1"/>
    <xf numFmtId="0" fontId="17" fillId="0" borderId="0" xfId="1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left"/>
    </xf>
    <xf numFmtId="1" fontId="0" fillId="2" borderId="4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" fontId="0" fillId="0" borderId="3" xfId="0" applyNumberFormat="1" applyBorder="1" applyAlignment="1">
      <alignment horizontal="left"/>
    </xf>
    <xf numFmtId="1" fontId="0" fillId="0" borderId="4" xfId="0" applyNumberForma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9" fillId="0" borderId="0" xfId="1" applyAlignment="1">
      <alignment horizontal="center"/>
    </xf>
    <xf numFmtId="0" fontId="9" fillId="0" borderId="0" xfId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/>
    </xf>
  </cellXfs>
  <cellStyles count="2">
    <cellStyle name="Normal 2" xfId="1" xr:uid="{FE318F1B-62ED-4C49-A77A-FCC81C5518F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XRF!$K$2</c:f>
              <c:strCache>
                <c:ptCount val="1"/>
                <c:pt idx="0">
                  <c:v>CaO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XRF!$J$3:$J$62</c:f>
              <c:numCache>
                <c:formatCode>0.00</c:formatCode>
                <c:ptCount val="60"/>
                <c:pt idx="0">
                  <c:v>4.5340722652120622</c:v>
                </c:pt>
                <c:pt idx="1">
                  <c:v>4.9214209721418509</c:v>
                </c:pt>
                <c:pt idx="2">
                  <c:v>3.4958712593033634</c:v>
                </c:pt>
                <c:pt idx="3">
                  <c:v>3.8977724406835916</c:v>
                </c:pt>
                <c:pt idx="4">
                  <c:v>4.3167704742341719</c:v>
                </c:pt>
                <c:pt idx="5">
                  <c:v>2.0150363831563878</c:v>
                </c:pt>
                <c:pt idx="6">
                  <c:v>2.0550009949305905</c:v>
                </c:pt>
                <c:pt idx="7">
                  <c:v>1.6213089299687016</c:v>
                </c:pt>
                <c:pt idx="8">
                  <c:v>6.2988456318914325</c:v>
                </c:pt>
                <c:pt idx="9">
                  <c:v>5.9670767222246388</c:v>
                </c:pt>
                <c:pt idx="10">
                  <c:v>2.3777812964095406</c:v>
                </c:pt>
                <c:pt idx="11">
                  <c:v>4.1738979865771828</c:v>
                </c:pt>
                <c:pt idx="12">
                  <c:v>2.4757664745677763</c:v>
                </c:pt>
                <c:pt idx="13">
                  <c:v>2.7985868176670436</c:v>
                </c:pt>
                <c:pt idx="14">
                  <c:v>3.2983678565148584</c:v>
                </c:pt>
                <c:pt idx="15">
                  <c:v>3.4505679751077043</c:v>
                </c:pt>
                <c:pt idx="16">
                  <c:v>3.1575178431755946</c:v>
                </c:pt>
                <c:pt idx="17">
                  <c:v>3.3069807663486044</c:v>
                </c:pt>
                <c:pt idx="18">
                  <c:v>9.3278450499445</c:v>
                </c:pt>
                <c:pt idx="19">
                  <c:v>6.6158594728278528</c:v>
                </c:pt>
                <c:pt idx="20">
                  <c:v>8.7156139185840757</c:v>
                </c:pt>
                <c:pt idx="21">
                  <c:v>2.7854746359104663</c:v>
                </c:pt>
                <c:pt idx="22">
                  <c:v>5.6542902584493024</c:v>
                </c:pt>
                <c:pt idx="23">
                  <c:v>6.9985468921892187</c:v>
                </c:pt>
                <c:pt idx="24">
                  <c:v>8.1030618760563371</c:v>
                </c:pt>
                <c:pt idx="25">
                  <c:v>3.8059112609771488</c:v>
                </c:pt>
                <c:pt idx="26">
                  <c:v>3.1359215046638442</c:v>
                </c:pt>
                <c:pt idx="27">
                  <c:v>2.4489830120992604</c:v>
                </c:pt>
                <c:pt idx="28">
                  <c:v>3.7133413153021229</c:v>
                </c:pt>
                <c:pt idx="29">
                  <c:v>1.9916232586809122</c:v>
                </c:pt>
                <c:pt idx="30">
                  <c:v>8.2726781840096439</c:v>
                </c:pt>
                <c:pt idx="31">
                  <c:v>2.8802841806676867</c:v>
                </c:pt>
                <c:pt idx="32">
                  <c:v>5.2926067075038272</c:v>
                </c:pt>
                <c:pt idx="33">
                  <c:v>5.5763135813092228</c:v>
                </c:pt>
                <c:pt idx="34">
                  <c:v>6.3363109204272945</c:v>
                </c:pt>
                <c:pt idx="35">
                  <c:v>6.159135843737932</c:v>
                </c:pt>
                <c:pt idx="36">
                  <c:v>3.9205234178858994</c:v>
                </c:pt>
                <c:pt idx="37">
                  <c:v>6.614806646249483</c:v>
                </c:pt>
                <c:pt idx="38">
                  <c:v>6.8591665528345072</c:v>
                </c:pt>
                <c:pt idx="39">
                  <c:v>4.3664111725452814</c:v>
                </c:pt>
                <c:pt idx="40">
                  <c:v>12.792929958971948</c:v>
                </c:pt>
                <c:pt idx="41">
                  <c:v>13.675401289002341</c:v>
                </c:pt>
                <c:pt idx="42">
                  <c:v>9.9601654039527006</c:v>
                </c:pt>
                <c:pt idx="43">
                  <c:v>7.2932517434352109</c:v>
                </c:pt>
                <c:pt idx="44">
                  <c:v>2.1863840960240055</c:v>
                </c:pt>
                <c:pt idx="45">
                  <c:v>10.457187233105884</c:v>
                </c:pt>
                <c:pt idx="46">
                  <c:v>9.9603241544071466</c:v>
                </c:pt>
                <c:pt idx="47">
                  <c:v>10.664919333958295</c:v>
                </c:pt>
                <c:pt idx="48">
                  <c:v>15.738996104387292</c:v>
                </c:pt>
                <c:pt idx="49">
                  <c:v>13.781090848274696</c:v>
                </c:pt>
                <c:pt idx="50">
                  <c:v>13.028278745644604</c:v>
                </c:pt>
                <c:pt idx="51">
                  <c:v>13.807406709626635</c:v>
                </c:pt>
                <c:pt idx="52">
                  <c:v>17.892350641247848</c:v>
                </c:pt>
                <c:pt idx="53">
                  <c:v>17.583990777275975</c:v>
                </c:pt>
                <c:pt idx="54">
                  <c:v>17.181019366056088</c:v>
                </c:pt>
                <c:pt idx="55">
                  <c:v>14.036099774813781</c:v>
                </c:pt>
                <c:pt idx="56">
                  <c:v>15.224873366381248</c:v>
                </c:pt>
                <c:pt idx="57">
                  <c:v>14.868987980362272</c:v>
                </c:pt>
                <c:pt idx="58">
                  <c:v>19.659461228276285</c:v>
                </c:pt>
                <c:pt idx="59">
                  <c:v>19.820774232582984</c:v>
                </c:pt>
              </c:numCache>
            </c:numRef>
          </c:xVal>
          <c:yVal>
            <c:numRef>
              <c:f>XRF!$K$3:$K$62</c:f>
              <c:numCache>
                <c:formatCode>0.00</c:formatCode>
                <c:ptCount val="60"/>
                <c:pt idx="0">
                  <c:v>38.005327920842333</c:v>
                </c:pt>
                <c:pt idx="1">
                  <c:v>34.420672894105962</c:v>
                </c:pt>
                <c:pt idx="2">
                  <c:v>28.986234125802742</c:v>
                </c:pt>
                <c:pt idx="3">
                  <c:v>36.632437365189986</c:v>
                </c:pt>
                <c:pt idx="4">
                  <c:v>33.884627132267589</c:v>
                </c:pt>
                <c:pt idx="5">
                  <c:v>38.864802576643207</c:v>
                </c:pt>
                <c:pt idx="6">
                  <c:v>41.370588430378525</c:v>
                </c:pt>
                <c:pt idx="7">
                  <c:v>42.640091940532095</c:v>
                </c:pt>
                <c:pt idx="8">
                  <c:v>33.456516822165675</c:v>
                </c:pt>
                <c:pt idx="9">
                  <c:v>34.003165498933804</c:v>
                </c:pt>
                <c:pt idx="10">
                  <c:v>29.097217611601302</c:v>
                </c:pt>
                <c:pt idx="11">
                  <c:v>40.698075503355717</c:v>
                </c:pt>
                <c:pt idx="12">
                  <c:v>40.887059216570599</c:v>
                </c:pt>
                <c:pt idx="13">
                  <c:v>35.653417893544727</c:v>
                </c:pt>
                <c:pt idx="14">
                  <c:v>35.447503077193602</c:v>
                </c:pt>
                <c:pt idx="15">
                  <c:v>37.317005744375265</c:v>
                </c:pt>
                <c:pt idx="16">
                  <c:v>35.005909757528329</c:v>
                </c:pt>
                <c:pt idx="17">
                  <c:v>35.925246540440632</c:v>
                </c:pt>
                <c:pt idx="18">
                  <c:v>27.419064434578846</c:v>
                </c:pt>
                <c:pt idx="19">
                  <c:v>34.757139212495915</c:v>
                </c:pt>
                <c:pt idx="20">
                  <c:v>31.63049065486727</c:v>
                </c:pt>
                <c:pt idx="21">
                  <c:v>47.926018961978265</c:v>
                </c:pt>
                <c:pt idx="22">
                  <c:v>35.873719543205873</c:v>
                </c:pt>
                <c:pt idx="23">
                  <c:v>33.425001375137512</c:v>
                </c:pt>
                <c:pt idx="24">
                  <c:v>24.844027225352111</c:v>
                </c:pt>
                <c:pt idx="25">
                  <c:v>38.701935859492508</c:v>
                </c:pt>
                <c:pt idx="26">
                  <c:v>33.799349610071843</c:v>
                </c:pt>
                <c:pt idx="27">
                  <c:v>32.261250774506777</c:v>
                </c:pt>
                <c:pt idx="28">
                  <c:v>39.693209440544379</c:v>
                </c:pt>
                <c:pt idx="29">
                  <c:v>44.64491391000616</c:v>
                </c:pt>
                <c:pt idx="30">
                  <c:v>28.840337484933713</c:v>
                </c:pt>
                <c:pt idx="31">
                  <c:v>34.385493781365938</c:v>
                </c:pt>
                <c:pt idx="32">
                  <c:v>37.230881835316289</c:v>
                </c:pt>
                <c:pt idx="33">
                  <c:v>35.956059557782361</c:v>
                </c:pt>
                <c:pt idx="34">
                  <c:v>24.242072714192286</c:v>
                </c:pt>
                <c:pt idx="35">
                  <c:v>25.51983873085339</c:v>
                </c:pt>
                <c:pt idx="36">
                  <c:v>34.874423426543174</c:v>
                </c:pt>
                <c:pt idx="37">
                  <c:v>38.25536865200894</c:v>
                </c:pt>
                <c:pt idx="38">
                  <c:v>33.640911397339224</c:v>
                </c:pt>
                <c:pt idx="39">
                  <c:v>46.794155576739762</c:v>
                </c:pt>
                <c:pt idx="40">
                  <c:v>35.087390917236519</c:v>
                </c:pt>
                <c:pt idx="41">
                  <c:v>28.386389221168631</c:v>
                </c:pt>
                <c:pt idx="42">
                  <c:v>28.160929264863974</c:v>
                </c:pt>
                <c:pt idx="43">
                  <c:v>30.833314679294009</c:v>
                </c:pt>
                <c:pt idx="44">
                  <c:v>40.374130374698929</c:v>
                </c:pt>
                <c:pt idx="45">
                  <c:v>35.205781201849021</c:v>
                </c:pt>
                <c:pt idx="46">
                  <c:v>33.474680833228568</c:v>
                </c:pt>
                <c:pt idx="47">
                  <c:v>33.529409401365974</c:v>
                </c:pt>
                <c:pt idx="48">
                  <c:v>22.838462902528633</c:v>
                </c:pt>
                <c:pt idx="49">
                  <c:v>19.613006522750339</c:v>
                </c:pt>
                <c:pt idx="50">
                  <c:v>18.871777003484329</c:v>
                </c:pt>
                <c:pt idx="51">
                  <c:v>19.721880072802392</c:v>
                </c:pt>
                <c:pt idx="52">
                  <c:v>26.23009289428078</c:v>
                </c:pt>
                <c:pt idx="53">
                  <c:v>25.507115854528173</c:v>
                </c:pt>
                <c:pt idx="54">
                  <c:v>25.051718603319962</c:v>
                </c:pt>
                <c:pt idx="55">
                  <c:v>23.751070933656671</c:v>
                </c:pt>
                <c:pt idx="56">
                  <c:v>25.733871113114006</c:v>
                </c:pt>
                <c:pt idx="57">
                  <c:v>25.749944557304875</c:v>
                </c:pt>
                <c:pt idx="58">
                  <c:v>28.95046151509014</c:v>
                </c:pt>
                <c:pt idx="59">
                  <c:v>28.500790159266856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34-45CF-B6C4-AD21BBF1B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731840"/>
        <c:axId val="1374732672"/>
      </c:scatterChart>
      <c:valAx>
        <c:axId val="137473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t-EE"/>
                  <a:t>MgO</a:t>
                </a:r>
                <a:r>
                  <a:rPr lang="et-EE" baseline="0"/>
                  <a:t> content, %</a:t>
                </a:r>
                <a:endParaRPr lang="et-E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374732672"/>
        <c:crosses val="autoZero"/>
        <c:crossBetween val="midCat"/>
      </c:valAx>
      <c:valAx>
        <c:axId val="137473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t-EE"/>
                  <a:t>CaO content,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37473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XRF!$E$3:$E$62</c:f>
              <c:numCache>
                <c:formatCode>0.00</c:formatCode>
                <c:ptCount val="60"/>
                <c:pt idx="0">
                  <c:v>13.78282062666498</c:v>
                </c:pt>
                <c:pt idx="1">
                  <c:v>16.386582210465395</c:v>
                </c:pt>
                <c:pt idx="2">
                  <c:v>25.122376418151656</c:v>
                </c:pt>
                <c:pt idx="3">
                  <c:v>16.085830429732873</c:v>
                </c:pt>
                <c:pt idx="4">
                  <c:v>17.520066669643661</c:v>
                </c:pt>
                <c:pt idx="5">
                  <c:v>16.90259930812358</c:v>
                </c:pt>
                <c:pt idx="6">
                  <c:v>14.124337281470595</c:v>
                </c:pt>
                <c:pt idx="7">
                  <c:v>11.720032766040692</c:v>
                </c:pt>
                <c:pt idx="8">
                  <c:v>16.943672603901611</c:v>
                </c:pt>
                <c:pt idx="9">
                  <c:v>17.049465033291259</c:v>
                </c:pt>
                <c:pt idx="10">
                  <c:v>27.129943006901378</c:v>
                </c:pt>
                <c:pt idx="11">
                  <c:v>11.710174077181211</c:v>
                </c:pt>
                <c:pt idx="12">
                  <c:v>14.18885759625824</c:v>
                </c:pt>
                <c:pt idx="13">
                  <c:v>19.703675560588895</c:v>
                </c:pt>
                <c:pt idx="14">
                  <c:v>19.234988746263408</c:v>
                </c:pt>
                <c:pt idx="15">
                  <c:v>16.605565533748191</c:v>
                </c:pt>
                <c:pt idx="16">
                  <c:v>18.677344012514652</c:v>
                </c:pt>
                <c:pt idx="17">
                  <c:v>17.468400083928664</c:v>
                </c:pt>
                <c:pt idx="18">
                  <c:v>24.07246370945861</c:v>
                </c:pt>
                <c:pt idx="19">
                  <c:v>17.889020722421076</c:v>
                </c:pt>
                <c:pt idx="20">
                  <c:v>19.570842782300893</c:v>
                </c:pt>
                <c:pt idx="21">
                  <c:v>7.2905204183364232</c:v>
                </c:pt>
                <c:pt idx="22">
                  <c:v>19.376169698090521</c:v>
                </c:pt>
                <c:pt idx="23">
                  <c:v>20.65365518151815</c:v>
                </c:pt>
                <c:pt idx="24">
                  <c:v>24.254854753521126</c:v>
                </c:pt>
                <c:pt idx="25">
                  <c:v>13.205710203289506</c:v>
                </c:pt>
                <c:pt idx="26">
                  <c:v>22.334900249757872</c:v>
                </c:pt>
                <c:pt idx="27">
                  <c:v>25.119850183030209</c:v>
                </c:pt>
                <c:pt idx="28">
                  <c:v>14.391161634867995</c:v>
                </c:pt>
                <c:pt idx="29">
                  <c:v>9.8305960139716433</c:v>
                </c:pt>
                <c:pt idx="30">
                  <c:v>18.432009642426678</c:v>
                </c:pt>
                <c:pt idx="31">
                  <c:v>19.454526467379456</c:v>
                </c:pt>
                <c:pt idx="32">
                  <c:v>13.930348854988805</c:v>
                </c:pt>
                <c:pt idx="33">
                  <c:v>15.511095207493728</c:v>
                </c:pt>
                <c:pt idx="34">
                  <c:v>28.270031174187928</c:v>
                </c:pt>
                <c:pt idx="35">
                  <c:v>27.135587542798298</c:v>
                </c:pt>
                <c:pt idx="36">
                  <c:v>17.973900701237998</c:v>
                </c:pt>
                <c:pt idx="37">
                  <c:v>13.379906751382725</c:v>
                </c:pt>
                <c:pt idx="38">
                  <c:v>16.660291760444036</c:v>
                </c:pt>
                <c:pt idx="39">
                  <c:v>4.9234430505243099</c:v>
                </c:pt>
                <c:pt idx="40">
                  <c:v>6.9687939938693741</c:v>
                </c:pt>
                <c:pt idx="41">
                  <c:v>15.311185416565351</c:v>
                </c:pt>
                <c:pt idx="42">
                  <c:v>21.127227776399572</c:v>
                </c:pt>
                <c:pt idx="43">
                  <c:v>21.860908494188543</c:v>
                </c:pt>
                <c:pt idx="44">
                  <c:v>15.402664982034976</c:v>
                </c:pt>
                <c:pt idx="45">
                  <c:v>10.861766057671149</c:v>
                </c:pt>
                <c:pt idx="46">
                  <c:v>13.769731380191967</c:v>
                </c:pt>
                <c:pt idx="47">
                  <c:v>12.545196018034897</c:v>
                </c:pt>
                <c:pt idx="48">
                  <c:v>17.60035296736546</c:v>
                </c:pt>
                <c:pt idx="49">
                  <c:v>25.025656205810218</c:v>
                </c:pt>
                <c:pt idx="50">
                  <c:v>28.986367108013948</c:v>
                </c:pt>
                <c:pt idx="51">
                  <c:v>26.474094300752608</c:v>
                </c:pt>
                <c:pt idx="52">
                  <c:v>11.155402357019073</c:v>
                </c:pt>
                <c:pt idx="53">
                  <c:v>12.45340272878536</c:v>
                </c:pt>
                <c:pt idx="54">
                  <c:v>13.121081312249563</c:v>
                </c:pt>
                <c:pt idx="55">
                  <c:v>18.394082366187416</c:v>
                </c:pt>
                <c:pt idx="56">
                  <c:v>14.935501577287061</c:v>
                </c:pt>
                <c:pt idx="57">
                  <c:v>15.453144955137962</c:v>
                </c:pt>
                <c:pt idx="58">
                  <c:v>5.1439515677536969</c:v>
                </c:pt>
                <c:pt idx="59">
                  <c:v>5.9057817101165622</c:v>
                </c:pt>
              </c:numCache>
            </c:numRef>
          </c:xVal>
          <c:yVal>
            <c:numRef>
              <c:f>XRF!$G$3:$G$62</c:f>
              <c:numCache>
                <c:formatCode>0.00</c:formatCode>
                <c:ptCount val="60"/>
                <c:pt idx="0">
                  <c:v>3.9379487504757091</c:v>
                </c:pt>
                <c:pt idx="1">
                  <c:v>4.6674868149127855</c:v>
                </c:pt>
                <c:pt idx="2">
                  <c:v>7.3239525066984212</c:v>
                </c:pt>
                <c:pt idx="3">
                  <c:v>4.5601301642608272</c:v>
                </c:pt>
                <c:pt idx="4">
                  <c:v>5.2325335357685123</c:v>
                </c:pt>
                <c:pt idx="5">
                  <c:v>4.7663230347131096</c:v>
                </c:pt>
                <c:pt idx="6">
                  <c:v>3.8565914625479683</c:v>
                </c:pt>
                <c:pt idx="7">
                  <c:v>3.418398376369328</c:v>
                </c:pt>
                <c:pt idx="8">
                  <c:v>4.8925948543963811</c:v>
                </c:pt>
                <c:pt idx="9">
                  <c:v>4.8819697549936887</c:v>
                </c:pt>
                <c:pt idx="10">
                  <c:v>7.4330704551410873</c:v>
                </c:pt>
                <c:pt idx="11">
                  <c:v>2.57013422818792</c:v>
                </c:pt>
                <c:pt idx="12">
                  <c:v>3.3280471059884729</c:v>
                </c:pt>
                <c:pt idx="13">
                  <c:v>4.9006242355605876</c:v>
                </c:pt>
                <c:pt idx="14">
                  <c:v>4.8027420432565506</c:v>
                </c:pt>
                <c:pt idx="15">
                  <c:v>4.1828514600287177</c:v>
                </c:pt>
                <c:pt idx="16">
                  <c:v>5.0333531971059804</c:v>
                </c:pt>
                <c:pt idx="17">
                  <c:v>4.6431622121196989</c:v>
                </c:pt>
                <c:pt idx="18">
                  <c:v>3.7166575360710299</c:v>
                </c:pt>
                <c:pt idx="19">
                  <c:v>2.9175088447770894</c:v>
                </c:pt>
                <c:pt idx="20">
                  <c:v>2.4925676814159301</c:v>
                </c:pt>
                <c:pt idx="21">
                  <c:v>0.93810077216303334</c:v>
                </c:pt>
                <c:pt idx="22">
                  <c:v>2.5030327800638026</c:v>
                </c:pt>
                <c:pt idx="23">
                  <c:v>2.6348567106710674</c:v>
                </c:pt>
                <c:pt idx="24">
                  <c:v>6.1224545366197169</c:v>
                </c:pt>
                <c:pt idx="25">
                  <c:v>3.737652709718112</c:v>
                </c:pt>
                <c:pt idx="26">
                  <c:v>5.3487749630460231</c:v>
                </c:pt>
                <c:pt idx="27">
                  <c:v>5.808855365289765</c:v>
                </c:pt>
                <c:pt idx="28">
                  <c:v>3.2688140316120418</c:v>
                </c:pt>
                <c:pt idx="29">
                  <c:v>2.3126667762482018</c:v>
                </c:pt>
                <c:pt idx="30">
                  <c:v>5.6920433909200483</c:v>
                </c:pt>
                <c:pt idx="31">
                  <c:v>6.0673690595679721</c:v>
                </c:pt>
                <c:pt idx="32">
                  <c:v>3.8017226469548819</c:v>
                </c:pt>
                <c:pt idx="33">
                  <c:v>4.1944396775950308</c:v>
                </c:pt>
                <c:pt idx="34">
                  <c:v>7.1808123413996086</c:v>
                </c:pt>
                <c:pt idx="35">
                  <c:v>6.8930397026644359</c:v>
                </c:pt>
                <c:pt idx="36">
                  <c:v>4.9441695957060023</c:v>
                </c:pt>
                <c:pt idx="37">
                  <c:v>2.3232337614846634</c:v>
                </c:pt>
                <c:pt idx="38">
                  <c:v>4.1007155681721903</c:v>
                </c:pt>
                <c:pt idx="39">
                  <c:v>1.0149457006673024</c:v>
                </c:pt>
                <c:pt idx="40">
                  <c:v>1.4112619240745115</c:v>
                </c:pt>
                <c:pt idx="41">
                  <c:v>2.5582187859632044</c:v>
                </c:pt>
                <c:pt idx="42">
                  <c:v>3.7904924270238989</c:v>
                </c:pt>
                <c:pt idx="43">
                  <c:v>4.0005120964270331</c:v>
                </c:pt>
                <c:pt idx="44">
                  <c:v>3.6875915821060516</c:v>
                </c:pt>
                <c:pt idx="45">
                  <c:v>2.635948580233328</c:v>
                </c:pt>
                <c:pt idx="46">
                  <c:v>3.5071743157718274</c:v>
                </c:pt>
                <c:pt idx="47">
                  <c:v>3.1325422079371426</c:v>
                </c:pt>
                <c:pt idx="48">
                  <c:v>4.2217319267343845</c:v>
                </c:pt>
                <c:pt idx="49">
                  <c:v>5.2668180338717869</c:v>
                </c:pt>
                <c:pt idx="50">
                  <c:v>4.9571289198606294</c:v>
                </c:pt>
                <c:pt idx="51">
                  <c:v>4.8231495400659137</c:v>
                </c:pt>
                <c:pt idx="52">
                  <c:v>2.3632758405545946</c:v>
                </c:pt>
                <c:pt idx="53">
                  <c:v>2.7828154028999297</c:v>
                </c:pt>
                <c:pt idx="54">
                  <c:v>3.1899513279908396</c:v>
                </c:pt>
                <c:pt idx="55">
                  <c:v>5.5267800970032885</c:v>
                </c:pt>
                <c:pt idx="56">
                  <c:v>4.3045633168093715</c:v>
                </c:pt>
                <c:pt idx="57">
                  <c:v>4.3478059928897892</c:v>
                </c:pt>
                <c:pt idx="58">
                  <c:v>1.372839276483695</c:v>
                </c:pt>
                <c:pt idx="59">
                  <c:v>1.2444165228223159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06-46C6-B6D2-D9EA7CF85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867776"/>
        <c:axId val="1263868608"/>
      </c:scatterChart>
      <c:valAx>
        <c:axId val="126386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t-EE"/>
                  <a:t>SiO2 content,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263868608"/>
        <c:crosses val="autoZero"/>
        <c:crossBetween val="midCat"/>
      </c:valAx>
      <c:valAx>
        <c:axId val="126386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t-EE"/>
                  <a:t>Al2O3 content,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26386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476249</xdr:colOff>
      <xdr:row>0</xdr:row>
      <xdr:rowOff>9524</xdr:rowOff>
    </xdr:from>
    <xdr:to>
      <xdr:col>24</xdr:col>
      <xdr:colOff>257175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EAB412-2DC1-4560-B8BC-D87E9A27E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471487</xdr:colOff>
      <xdr:row>17</xdr:row>
      <xdr:rowOff>142874</xdr:rowOff>
    </xdr:from>
    <xdr:to>
      <xdr:col>24</xdr:col>
      <xdr:colOff>238125</xdr:colOff>
      <xdr:row>34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76858D-FE99-4199-A5E6-720F336F8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der Kanter" id="{5C7EEAF0-1ABB-4A91-B2D1-26C65E3C8880}" userId="S::sander.kanter@taltech.ee::27d19ee9-3690-4e08-963e-8ac65452f87c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1-13T11:59:25.30" personId="{5C7EEAF0-1ABB-4A91-B2D1-26C65E3C8880}" id="{7EAE6D06-E86E-4FA7-91AC-500C703855AC}">
    <text>Loss on ignition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" dT="2026-01-13T12:12:16.75" personId="{5C7EEAF0-1ABB-4A91-B2D1-26C65E3C8880}" id="{D79049B7-EC63-4BAA-ABB2-3791841AF408}">
    <text>K - in thousands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6-01-13T11:58:42.05" personId="{5C7EEAF0-1ABB-4A91-B2D1-26C65E3C8880}" id="{B5F1CC1A-FD8F-497C-8AF7-3834ECD57CA0}">
    <text>Loss on ignition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2" dT="2026-01-13T11:59:00.80" personId="{5C7EEAF0-1ABB-4A91-B2D1-26C65E3C8880}" id="{94CE3225-267C-458D-A98B-7F90C7082C8F}">
    <text>Loss on igition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4" dT="2026-01-13T11:59:25.30" personId="{5C7EEAF0-1ABB-4A91-B2D1-26C65E3C8880}" id="{F5121AF1-83DD-4185-8F7A-3B820E19094C}">
    <text>Loss on ignition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2B3B-C270-418D-BE4C-3AEF04E4CCA2}">
  <dimension ref="A1:T8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9.140625" style="36"/>
    <col min="2" max="2" width="24.85546875" style="36" customWidth="1"/>
    <col min="3" max="3" width="14.42578125" style="36" customWidth="1"/>
    <col min="4" max="4" width="10.28515625" style="36" bestFit="1" customWidth="1"/>
    <col min="5" max="5" width="9.5703125" style="36" bestFit="1" customWidth="1"/>
    <col min="6" max="16384" width="9.140625" style="36"/>
  </cols>
  <sheetData>
    <row r="1" spans="1:20" x14ac:dyDescent="0.25">
      <c r="A1"/>
      <c r="B1" s="94" t="s">
        <v>192</v>
      </c>
      <c r="C1" s="95" t="s">
        <v>176</v>
      </c>
      <c r="D1" s="96" t="s">
        <v>177</v>
      </c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20" ht="18" x14ac:dyDescent="0.25">
      <c r="A2"/>
      <c r="B2" s="94"/>
      <c r="C2" s="95"/>
      <c r="D2" s="12" t="s">
        <v>178</v>
      </c>
      <c r="E2" s="12" t="s">
        <v>179</v>
      </c>
      <c r="F2" s="12" t="s">
        <v>180</v>
      </c>
      <c r="G2" s="12" t="s">
        <v>181</v>
      </c>
      <c r="H2" s="12" t="s">
        <v>182</v>
      </c>
      <c r="I2" s="12" t="s">
        <v>183</v>
      </c>
      <c r="J2" s="12" t="s">
        <v>184</v>
      </c>
      <c r="K2" s="12" t="s">
        <v>185</v>
      </c>
      <c r="L2" s="12" t="s">
        <v>186</v>
      </c>
      <c r="M2" s="12" t="s">
        <v>187</v>
      </c>
      <c r="N2" s="12" t="s">
        <v>188</v>
      </c>
      <c r="O2" s="36" t="s">
        <v>222</v>
      </c>
      <c r="P2" s="36" t="s">
        <v>223</v>
      </c>
      <c r="Q2" s="36" t="s">
        <v>224</v>
      </c>
      <c r="R2" s="36" t="s">
        <v>225</v>
      </c>
      <c r="S2" s="36" t="s">
        <v>226</v>
      </c>
      <c r="T2" s="36" t="s">
        <v>227</v>
      </c>
    </row>
    <row r="3" spans="1:20" x14ac:dyDescent="0.25">
      <c r="A3" t="s">
        <v>205</v>
      </c>
      <c r="B3" s="83" t="s">
        <v>126</v>
      </c>
      <c r="C3" s="84">
        <v>39.942332127846782</v>
      </c>
      <c r="D3" s="85">
        <v>7.2905204183364232</v>
      </c>
      <c r="E3" s="85">
        <v>6.6063434659368536E-2</v>
      </c>
      <c r="F3" s="85">
        <v>0.93810077216303334</v>
      </c>
      <c r="G3" s="85">
        <v>0.34292928354999486</v>
      </c>
      <c r="H3" s="85">
        <v>1.7176493011435822E-2</v>
      </c>
      <c r="I3" s="85">
        <v>2.7854746359104663</v>
      </c>
      <c r="J3" s="85">
        <v>47.926018961978265</v>
      </c>
      <c r="K3" s="85">
        <v>3.8436907438178063E-2</v>
      </c>
      <c r="L3" s="85">
        <v>0.32130852311601976</v>
      </c>
      <c r="M3" s="85">
        <v>8.588246505717911E-3</v>
      </c>
      <c r="N3" s="85">
        <v>0.14233667285700313</v>
      </c>
      <c r="O3" s="44">
        <v>94.35</v>
      </c>
      <c r="P3" s="44">
        <v>10.62</v>
      </c>
      <c r="Q3" s="44">
        <f>O3+P3</f>
        <v>104.97</v>
      </c>
      <c r="R3" s="44">
        <v>101.33</v>
      </c>
      <c r="S3" s="44">
        <f>Q3-R3</f>
        <v>3.6400000000000006</v>
      </c>
      <c r="T3" s="59">
        <f>(S3/P3)*100</f>
        <v>34.274952919020727</v>
      </c>
    </row>
    <row r="4" spans="1:20" x14ac:dyDescent="0.25">
      <c r="A4" t="s">
        <v>208</v>
      </c>
      <c r="B4" s="83" t="s">
        <v>134</v>
      </c>
      <c r="C4" s="84">
        <v>35.919457571399228</v>
      </c>
      <c r="D4" s="85">
        <v>9.8305960139716433</v>
      </c>
      <c r="E4" s="85">
        <v>0.12880189028148756</v>
      </c>
      <c r="F4" s="85">
        <v>2.3126667762482018</v>
      </c>
      <c r="G4" s="85">
        <v>1.8025856585165398</v>
      </c>
      <c r="H4" s="85">
        <v>4.216499691801931E-2</v>
      </c>
      <c r="I4" s="85">
        <v>1.9916232586809122</v>
      </c>
      <c r="J4" s="85">
        <v>44.64491391000616</v>
      </c>
      <c r="K4" s="85">
        <v>0.2326123690158208</v>
      </c>
      <c r="L4" s="85">
        <v>0.66643764125744809</v>
      </c>
      <c r="M4" s="85">
        <v>0.1741068337785083</v>
      </c>
      <c r="N4" s="85">
        <v>2.3293277172796381</v>
      </c>
      <c r="O4" s="45">
        <v>94.9</v>
      </c>
      <c r="P4" s="44">
        <v>10.15</v>
      </c>
      <c r="Q4" s="44">
        <f t="shared" ref="Q4:Q8" si="0">O4+P4</f>
        <v>105.05000000000001</v>
      </c>
      <c r="R4" s="44">
        <v>101.49</v>
      </c>
      <c r="S4" s="44">
        <f t="shared" ref="S4:S8" si="1">Q4-R4</f>
        <v>3.5600000000000165</v>
      </c>
      <c r="T4" s="59">
        <f t="shared" ref="T4:T8" si="2">(S4/P4)*100</f>
        <v>35.073891625615929</v>
      </c>
    </row>
    <row r="5" spans="1:20" x14ac:dyDescent="0.25">
      <c r="A5" t="s">
        <v>211</v>
      </c>
      <c r="B5" s="86" t="s">
        <v>111</v>
      </c>
      <c r="C5" s="87">
        <v>34.007675178850647</v>
      </c>
      <c r="D5" s="88">
        <v>14.124337281470595</v>
      </c>
      <c r="E5" s="88">
        <v>0.25011091107215605</v>
      </c>
      <c r="F5" s="88">
        <v>3.8565914625479683</v>
      </c>
      <c r="G5" s="88">
        <v>1.6227512673520625</v>
      </c>
      <c r="H5" s="88">
        <v>8.5460060643388416E-2</v>
      </c>
      <c r="I5" s="88">
        <v>2.0550009949305905</v>
      </c>
      <c r="J5" s="88">
        <v>41.370588430378525</v>
      </c>
      <c r="K5" s="88">
        <v>0.16432088880466189</v>
      </c>
      <c r="L5" s="88">
        <v>1.4425922205903248</v>
      </c>
      <c r="M5" s="88">
        <v>0.5212073814374375</v>
      </c>
      <c r="N5" s="88">
        <v>0.62626716255270731</v>
      </c>
      <c r="O5" s="44">
        <v>94.13</v>
      </c>
      <c r="P5" s="44">
        <v>10.57</v>
      </c>
      <c r="Q5" s="45">
        <f t="shared" si="0"/>
        <v>104.69999999999999</v>
      </c>
      <c r="R5" s="44">
        <v>101.17</v>
      </c>
      <c r="S5" s="44">
        <f t="shared" si="1"/>
        <v>3.5299999999999869</v>
      </c>
      <c r="T5" s="59">
        <f t="shared" si="2"/>
        <v>33.396404919583603</v>
      </c>
    </row>
    <row r="6" spans="1:20" x14ac:dyDescent="0.25">
      <c r="A6" t="s">
        <v>213</v>
      </c>
      <c r="B6" s="83" t="s">
        <v>117</v>
      </c>
      <c r="C6" s="84">
        <v>34.085024638770598</v>
      </c>
      <c r="D6" s="85">
        <v>14.18885759625824</v>
      </c>
      <c r="E6" s="85">
        <v>0.2201560177065062</v>
      </c>
      <c r="F6" s="85">
        <v>3.3280471059884729</v>
      </c>
      <c r="G6" s="85">
        <v>1.7434510983045177</v>
      </c>
      <c r="H6" s="85">
        <v>9.2017305604276248E-2</v>
      </c>
      <c r="I6" s="85">
        <v>2.4757664745677763</v>
      </c>
      <c r="J6" s="85">
        <v>40.887059216570599</v>
      </c>
      <c r="K6" s="85">
        <v>0.19642662657646359</v>
      </c>
      <c r="L6" s="85">
        <v>1.1943793535454768</v>
      </c>
      <c r="M6" s="85">
        <v>0.42950197945377072</v>
      </c>
      <c r="N6" s="85">
        <v>1.0506847072579968</v>
      </c>
      <c r="O6" s="44">
        <v>95.12</v>
      </c>
      <c r="P6" s="44">
        <v>10.29</v>
      </c>
      <c r="Q6" s="44">
        <f t="shared" si="0"/>
        <v>105.41</v>
      </c>
      <c r="R6" s="44">
        <v>102.04</v>
      </c>
      <c r="S6" s="44">
        <f t="shared" si="1"/>
        <v>3.3699999999999903</v>
      </c>
      <c r="T6" s="59">
        <f t="shared" si="2"/>
        <v>32.750242954324492</v>
      </c>
    </row>
    <row r="7" spans="1:20" x14ac:dyDescent="0.25">
      <c r="A7" t="s">
        <v>215</v>
      </c>
      <c r="B7" s="83" t="s">
        <v>151</v>
      </c>
      <c r="C7" s="84">
        <v>34.244087337623888</v>
      </c>
      <c r="D7" s="85">
        <v>15.402664982034976</v>
      </c>
      <c r="E7" s="85">
        <v>0.23014569431831636</v>
      </c>
      <c r="F7" s="85">
        <v>3.6875915821060516</v>
      </c>
      <c r="G7" s="85">
        <v>1.6991327831957985</v>
      </c>
      <c r="H7" s="85">
        <v>3.8993256208789032E-2</v>
      </c>
      <c r="I7" s="85">
        <v>2.1863840960240055</v>
      </c>
      <c r="J7" s="85">
        <v>40.374130374698929</v>
      </c>
      <c r="K7" s="85">
        <v>0.11967576104552451</v>
      </c>
      <c r="L7" s="85">
        <v>1.073136494649978</v>
      </c>
      <c r="M7" s="85">
        <v>2.8077774706834598E-2</v>
      </c>
      <c r="N7" s="85">
        <v>0.12033332017214826</v>
      </c>
      <c r="O7" s="44">
        <v>94.46</v>
      </c>
      <c r="P7" s="44">
        <v>10.71</v>
      </c>
      <c r="Q7" s="44">
        <f t="shared" si="0"/>
        <v>105.16999999999999</v>
      </c>
      <c r="R7" s="44">
        <v>101.52</v>
      </c>
      <c r="S7" s="44">
        <f t="shared" si="1"/>
        <v>3.6499999999999915</v>
      </c>
      <c r="T7" s="59">
        <f t="shared" si="2"/>
        <v>34.080298786181054</v>
      </c>
    </row>
    <row r="8" spans="1:20" x14ac:dyDescent="0.25">
      <c r="A8" t="s">
        <v>216</v>
      </c>
      <c r="B8" s="86" t="s">
        <v>110</v>
      </c>
      <c r="C8" s="87">
        <v>32.267684599785291</v>
      </c>
      <c r="D8" s="88">
        <v>16.90259930812358</v>
      </c>
      <c r="E8" s="88">
        <v>0.31766455922700698</v>
      </c>
      <c r="F8" s="88">
        <v>4.7663230347131096</v>
      </c>
      <c r="G8" s="88">
        <v>1.7481710604795417</v>
      </c>
      <c r="H8" s="88">
        <v>7.9246809018251221E-2</v>
      </c>
      <c r="I8" s="88">
        <v>2.0150363831563878</v>
      </c>
      <c r="J8" s="88">
        <v>38.864802576643207</v>
      </c>
      <c r="K8" s="88">
        <v>0.26754264583084814</v>
      </c>
      <c r="L8" s="88">
        <v>1.6350580937611834</v>
      </c>
      <c r="M8" s="88">
        <v>0.56089130382917807</v>
      </c>
      <c r="N8" s="88">
        <v>0.61975068591196469</v>
      </c>
      <c r="O8" s="44">
        <v>95.43</v>
      </c>
      <c r="P8" s="44">
        <v>10.44</v>
      </c>
      <c r="Q8" s="44">
        <f t="shared" si="0"/>
        <v>105.87</v>
      </c>
      <c r="R8" s="44">
        <v>102.52</v>
      </c>
      <c r="S8" s="44">
        <f t="shared" si="1"/>
        <v>3.3500000000000085</v>
      </c>
      <c r="T8" s="59">
        <f t="shared" si="2"/>
        <v>32.088122605364063</v>
      </c>
    </row>
  </sheetData>
  <mergeCells count="3">
    <mergeCell ref="B1:B2"/>
    <mergeCell ref="C1:C2"/>
    <mergeCell ref="D1:N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2F7B-0FE7-4163-A5AC-62AC9FDFC893}">
  <dimension ref="B2:K30"/>
  <sheetViews>
    <sheetView workbookViewId="0">
      <selection activeCell="I2" sqref="I2"/>
    </sheetView>
  </sheetViews>
  <sheetFormatPr baseColWidth="10" defaultColWidth="9.140625" defaultRowHeight="15" x14ac:dyDescent="0.25"/>
  <cols>
    <col min="2" max="2" width="10.5703125" bestFit="1" customWidth="1"/>
    <col min="4" max="4" width="11.5703125" bestFit="1" customWidth="1"/>
    <col min="5" max="5" width="26.85546875" bestFit="1" customWidth="1"/>
    <col min="6" max="6" width="14.5703125" bestFit="1" customWidth="1"/>
    <col min="7" max="7" width="24.7109375" bestFit="1" customWidth="1"/>
  </cols>
  <sheetData>
    <row r="2" spans="2:11" ht="75" x14ac:dyDescent="0.25">
      <c r="B2" s="2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1" x14ac:dyDescent="0.25">
      <c r="B3" s="97" t="s">
        <v>10</v>
      </c>
      <c r="C3" s="98">
        <v>1</v>
      </c>
      <c r="D3" s="98" t="s">
        <v>11</v>
      </c>
      <c r="E3" s="3" t="s">
        <v>12</v>
      </c>
      <c r="F3" s="4" t="s">
        <v>13</v>
      </c>
      <c r="G3" s="3" t="s">
        <v>14</v>
      </c>
      <c r="H3" s="5">
        <v>72.5</v>
      </c>
      <c r="I3" s="99">
        <f>SUM(H3:H6)</f>
        <v>340.09999999999997</v>
      </c>
      <c r="J3" s="6">
        <v>1</v>
      </c>
      <c r="K3" s="100">
        <f>SUM(J3:J6)</f>
        <v>7</v>
      </c>
    </row>
    <row r="4" spans="2:11" x14ac:dyDescent="0.25">
      <c r="B4" s="97"/>
      <c r="C4" s="98"/>
      <c r="D4" s="98"/>
      <c r="E4" s="3" t="s">
        <v>15</v>
      </c>
      <c r="F4" s="4" t="s">
        <v>16</v>
      </c>
      <c r="G4" s="3" t="s">
        <v>17</v>
      </c>
      <c r="H4" s="5">
        <v>125.6</v>
      </c>
      <c r="I4" s="99"/>
      <c r="J4" s="6">
        <v>2</v>
      </c>
      <c r="K4" s="97"/>
    </row>
    <row r="5" spans="2:11" x14ac:dyDescent="0.25">
      <c r="B5" s="97"/>
      <c r="C5" s="98"/>
      <c r="D5" s="98"/>
      <c r="E5" s="3" t="s">
        <v>18</v>
      </c>
      <c r="F5" s="4" t="s">
        <v>19</v>
      </c>
      <c r="G5" s="3" t="s">
        <v>17</v>
      </c>
      <c r="H5" s="5">
        <v>136.19999999999999</v>
      </c>
      <c r="I5" s="99"/>
      <c r="J5" s="6">
        <v>3</v>
      </c>
      <c r="K5" s="97"/>
    </row>
    <row r="6" spans="2:11" x14ac:dyDescent="0.25">
      <c r="B6" s="97"/>
      <c r="C6" s="98"/>
      <c r="D6" s="98"/>
      <c r="E6" s="3" t="s">
        <v>20</v>
      </c>
      <c r="F6" s="4" t="s">
        <v>21</v>
      </c>
      <c r="G6" s="3" t="s">
        <v>17</v>
      </c>
      <c r="H6" s="5">
        <v>5.8</v>
      </c>
      <c r="I6" s="99"/>
      <c r="J6" s="6">
        <v>1</v>
      </c>
      <c r="K6" s="97"/>
    </row>
    <row r="7" spans="2:11" x14ac:dyDescent="0.25">
      <c r="B7" s="97"/>
      <c r="C7" s="3">
        <v>2</v>
      </c>
      <c r="D7" s="3" t="s">
        <v>22</v>
      </c>
      <c r="E7" s="3" t="s">
        <v>23</v>
      </c>
      <c r="F7" s="4" t="s">
        <v>24</v>
      </c>
      <c r="G7" s="3" t="s">
        <v>25</v>
      </c>
      <c r="H7" s="5">
        <v>20.399999999999999</v>
      </c>
      <c r="I7" s="7">
        <f>H7</f>
        <v>20.399999999999999</v>
      </c>
      <c r="J7" s="6">
        <v>1</v>
      </c>
      <c r="K7" s="7">
        <f>J7</f>
        <v>1</v>
      </c>
    </row>
    <row r="8" spans="2:11" x14ac:dyDescent="0.25">
      <c r="B8" s="97"/>
      <c r="C8" s="3">
        <v>3</v>
      </c>
      <c r="D8" s="3" t="s">
        <v>26</v>
      </c>
      <c r="E8" s="3" t="s">
        <v>27</v>
      </c>
      <c r="F8" s="4" t="s">
        <v>28</v>
      </c>
      <c r="G8" s="3" t="s">
        <v>29</v>
      </c>
      <c r="H8" s="5">
        <v>86</v>
      </c>
      <c r="I8" s="7">
        <f>H8</f>
        <v>86</v>
      </c>
      <c r="J8" s="6">
        <v>2</v>
      </c>
      <c r="K8" s="7">
        <f>J8</f>
        <v>2</v>
      </c>
    </row>
    <row r="9" spans="2:11" x14ac:dyDescent="0.25">
      <c r="B9" s="97"/>
      <c r="C9" s="98">
        <v>4</v>
      </c>
      <c r="D9" s="98" t="s">
        <v>30</v>
      </c>
      <c r="E9" s="3" t="s">
        <v>31</v>
      </c>
      <c r="F9" s="4" t="s">
        <v>32</v>
      </c>
      <c r="G9" s="3" t="s">
        <v>33</v>
      </c>
      <c r="H9" s="5">
        <v>191.9</v>
      </c>
      <c r="I9" s="99">
        <f>SUM(H9:H10)</f>
        <v>493</v>
      </c>
      <c r="J9" s="6">
        <v>4</v>
      </c>
      <c r="K9" s="100">
        <f>SUM(J9:J10)</f>
        <v>11</v>
      </c>
    </row>
    <row r="10" spans="2:11" x14ac:dyDescent="0.25">
      <c r="B10" s="97"/>
      <c r="C10" s="98"/>
      <c r="D10" s="98"/>
      <c r="E10" s="3" t="s">
        <v>34</v>
      </c>
      <c r="F10" s="4" t="s">
        <v>35</v>
      </c>
      <c r="G10" s="3" t="s">
        <v>36</v>
      </c>
      <c r="H10" s="5">
        <v>301.10000000000002</v>
      </c>
      <c r="I10" s="99"/>
      <c r="J10" s="6">
        <v>7</v>
      </c>
      <c r="K10" s="97"/>
    </row>
    <row r="11" spans="2:11" x14ac:dyDescent="0.25">
      <c r="B11" s="97"/>
      <c r="C11" s="3">
        <v>5</v>
      </c>
      <c r="D11" s="3" t="s">
        <v>37</v>
      </c>
      <c r="E11" s="3" t="s">
        <v>38</v>
      </c>
      <c r="F11" s="4" t="s">
        <v>39</v>
      </c>
      <c r="G11" s="3" t="s">
        <v>40</v>
      </c>
      <c r="H11" s="5">
        <v>42.7</v>
      </c>
      <c r="I11" s="7">
        <f>H11</f>
        <v>42.7</v>
      </c>
      <c r="J11" s="6">
        <v>2</v>
      </c>
      <c r="K11" s="7">
        <f>J11</f>
        <v>2</v>
      </c>
    </row>
    <row r="12" spans="2:11" x14ac:dyDescent="0.25">
      <c r="B12" s="97"/>
      <c r="C12" s="3">
        <v>6</v>
      </c>
      <c r="D12" s="3" t="s">
        <v>41</v>
      </c>
      <c r="E12" s="3" t="s">
        <v>42</v>
      </c>
      <c r="F12" s="4" t="s">
        <v>43</v>
      </c>
      <c r="G12" s="3" t="s">
        <v>44</v>
      </c>
      <c r="H12" s="5">
        <v>271.39999999999998</v>
      </c>
      <c r="I12" s="7">
        <f>H12</f>
        <v>271.39999999999998</v>
      </c>
      <c r="J12" s="6">
        <v>6</v>
      </c>
      <c r="K12" s="7">
        <f t="shared" ref="K12:K13" si="0">J12</f>
        <v>6</v>
      </c>
    </row>
    <row r="13" spans="2:11" x14ac:dyDescent="0.25">
      <c r="B13" s="97"/>
      <c r="C13" s="3">
        <v>7</v>
      </c>
      <c r="D13" s="3" t="s">
        <v>45</v>
      </c>
      <c r="E13" s="3" t="s">
        <v>46</v>
      </c>
      <c r="F13" s="4" t="s">
        <v>47</v>
      </c>
      <c r="G13" s="3" t="s">
        <v>48</v>
      </c>
      <c r="H13" s="5">
        <v>86.5</v>
      </c>
      <c r="I13" s="7">
        <f>H13</f>
        <v>86.5</v>
      </c>
      <c r="J13" s="6">
        <v>3</v>
      </c>
      <c r="K13" s="7">
        <f t="shared" si="0"/>
        <v>3</v>
      </c>
    </row>
    <row r="14" spans="2:11" x14ac:dyDescent="0.25">
      <c r="B14" s="97"/>
      <c r="C14" s="98">
        <v>8</v>
      </c>
      <c r="D14" s="98" t="s">
        <v>49</v>
      </c>
      <c r="E14" s="3" t="s">
        <v>50</v>
      </c>
      <c r="F14" s="4" t="s">
        <v>51</v>
      </c>
      <c r="G14" s="3" t="s">
        <v>52</v>
      </c>
      <c r="H14" s="5">
        <v>7.7</v>
      </c>
      <c r="I14" s="100">
        <f>SUM(H14:H15)</f>
        <v>57.400000000000006</v>
      </c>
      <c r="J14" s="6">
        <v>1</v>
      </c>
      <c r="K14" s="100">
        <f>SUM(J14:J15)</f>
        <v>2</v>
      </c>
    </row>
    <row r="15" spans="2:11" x14ac:dyDescent="0.25">
      <c r="B15" s="97"/>
      <c r="C15" s="98"/>
      <c r="D15" s="98"/>
      <c r="E15" s="3" t="s">
        <v>53</v>
      </c>
      <c r="F15" s="4" t="s">
        <v>54</v>
      </c>
      <c r="G15" s="3" t="s">
        <v>52</v>
      </c>
      <c r="H15" s="5">
        <v>49.7</v>
      </c>
      <c r="I15" s="100"/>
      <c r="J15" s="6">
        <v>1</v>
      </c>
      <c r="K15" s="97"/>
    </row>
    <row r="16" spans="2:11" x14ac:dyDescent="0.25">
      <c r="B16" s="97"/>
      <c r="C16" s="3">
        <v>9</v>
      </c>
      <c r="D16" s="3" t="s">
        <v>55</v>
      </c>
      <c r="E16" s="3" t="s">
        <v>56</v>
      </c>
      <c r="F16" s="4" t="s">
        <v>57</v>
      </c>
      <c r="G16" s="3" t="s">
        <v>58</v>
      </c>
      <c r="H16" s="5">
        <v>10.6</v>
      </c>
      <c r="I16" s="7">
        <f>H16</f>
        <v>10.6</v>
      </c>
      <c r="J16" s="6">
        <v>1</v>
      </c>
      <c r="K16" s="7">
        <f>J16</f>
        <v>1</v>
      </c>
    </row>
    <row r="17" spans="2:11" x14ac:dyDescent="0.25">
      <c r="B17" s="97"/>
      <c r="C17" s="3">
        <v>10</v>
      </c>
      <c r="D17" s="3" t="s">
        <v>59</v>
      </c>
      <c r="E17" s="3" t="s">
        <v>60</v>
      </c>
      <c r="F17" s="4" t="s">
        <v>61</v>
      </c>
      <c r="G17" s="3" t="s">
        <v>62</v>
      </c>
      <c r="H17" s="5">
        <v>208.3</v>
      </c>
      <c r="I17" s="7">
        <f t="shared" ref="I17:I24" si="1">H17</f>
        <v>208.3</v>
      </c>
      <c r="J17" s="6">
        <v>4</v>
      </c>
      <c r="K17" s="7">
        <f t="shared" ref="K17:K24" si="2">J17</f>
        <v>4</v>
      </c>
    </row>
    <row r="18" spans="2:11" x14ac:dyDescent="0.25">
      <c r="B18" s="97"/>
      <c r="C18" s="3">
        <v>11</v>
      </c>
      <c r="D18" s="3" t="s">
        <v>63</v>
      </c>
      <c r="E18" s="3" t="s">
        <v>64</v>
      </c>
      <c r="F18" s="4" t="s">
        <v>65</v>
      </c>
      <c r="G18" s="3" t="s">
        <v>52</v>
      </c>
      <c r="H18" s="5">
        <v>76</v>
      </c>
      <c r="I18" s="7">
        <f t="shared" si="1"/>
        <v>76</v>
      </c>
      <c r="J18" s="6">
        <v>2</v>
      </c>
      <c r="K18" s="7">
        <f t="shared" si="2"/>
        <v>2</v>
      </c>
    </row>
    <row r="19" spans="2:11" x14ac:dyDescent="0.25">
      <c r="B19" s="97"/>
      <c r="C19" s="3">
        <v>12</v>
      </c>
      <c r="D19" s="3" t="s">
        <v>66</v>
      </c>
      <c r="E19" s="3" t="s">
        <v>67</v>
      </c>
      <c r="F19" s="4" t="s">
        <v>68</v>
      </c>
      <c r="G19" s="3" t="s">
        <v>69</v>
      </c>
      <c r="H19" s="5">
        <v>28.9</v>
      </c>
      <c r="I19" s="7">
        <f t="shared" si="1"/>
        <v>28.9</v>
      </c>
      <c r="J19" s="6">
        <v>1</v>
      </c>
      <c r="K19" s="7">
        <f t="shared" si="2"/>
        <v>1</v>
      </c>
    </row>
    <row r="20" spans="2:11" x14ac:dyDescent="0.25">
      <c r="B20" s="97"/>
      <c r="C20" s="3">
        <v>13</v>
      </c>
      <c r="D20" s="3" t="s">
        <v>70</v>
      </c>
      <c r="E20" s="3" t="s">
        <v>71</v>
      </c>
      <c r="F20" s="4" t="s">
        <v>72</v>
      </c>
      <c r="G20" s="3" t="s">
        <v>73</v>
      </c>
      <c r="H20" s="5">
        <v>75.8</v>
      </c>
      <c r="I20" s="7">
        <f t="shared" si="1"/>
        <v>75.8</v>
      </c>
      <c r="J20" s="6">
        <v>2</v>
      </c>
      <c r="K20" s="7">
        <f t="shared" si="2"/>
        <v>2</v>
      </c>
    </row>
    <row r="21" spans="2:11" x14ac:dyDescent="0.25">
      <c r="B21" s="97"/>
      <c r="C21" s="3">
        <v>14</v>
      </c>
      <c r="D21" s="3" t="s">
        <v>74</v>
      </c>
      <c r="E21" s="3" t="s">
        <v>75</v>
      </c>
      <c r="F21" s="4" t="s">
        <v>76</v>
      </c>
      <c r="G21" s="3" t="s">
        <v>77</v>
      </c>
      <c r="H21" s="5">
        <v>28.2</v>
      </c>
      <c r="I21" s="7">
        <f t="shared" si="1"/>
        <v>28.2</v>
      </c>
      <c r="J21" s="6">
        <v>1</v>
      </c>
      <c r="K21" s="7">
        <f t="shared" si="2"/>
        <v>1</v>
      </c>
    </row>
    <row r="22" spans="2:11" x14ac:dyDescent="0.25">
      <c r="B22" s="97" t="s">
        <v>78</v>
      </c>
      <c r="C22" s="3">
        <v>15</v>
      </c>
      <c r="D22" s="3" t="s">
        <v>79</v>
      </c>
      <c r="E22" s="3" t="s">
        <v>80</v>
      </c>
      <c r="F22" s="3" t="s">
        <v>81</v>
      </c>
      <c r="G22" s="3" t="s">
        <v>52</v>
      </c>
      <c r="H22" s="5">
        <v>176.3</v>
      </c>
      <c r="I22" s="7">
        <f t="shared" si="1"/>
        <v>176.3</v>
      </c>
      <c r="J22" s="6">
        <v>4</v>
      </c>
      <c r="K22" s="7">
        <f t="shared" si="2"/>
        <v>4</v>
      </c>
    </row>
    <row r="23" spans="2:11" x14ac:dyDescent="0.25">
      <c r="B23" s="97"/>
      <c r="C23" s="3">
        <v>16</v>
      </c>
      <c r="D23" s="3" t="s">
        <v>45</v>
      </c>
      <c r="E23" s="3" t="s">
        <v>46</v>
      </c>
      <c r="F23" s="3" t="s">
        <v>47</v>
      </c>
      <c r="G23" s="3" t="s">
        <v>48</v>
      </c>
      <c r="H23" s="5">
        <v>72.8</v>
      </c>
      <c r="I23" s="7">
        <f t="shared" si="1"/>
        <v>72.8</v>
      </c>
      <c r="J23" s="6">
        <v>2</v>
      </c>
      <c r="K23" s="7">
        <f t="shared" si="2"/>
        <v>2</v>
      </c>
    </row>
    <row r="24" spans="2:11" x14ac:dyDescent="0.25">
      <c r="B24" s="97"/>
      <c r="C24" s="3">
        <v>17</v>
      </c>
      <c r="D24" s="3" t="s">
        <v>82</v>
      </c>
      <c r="E24" s="3" t="s">
        <v>83</v>
      </c>
      <c r="F24" s="3" t="s">
        <v>84</v>
      </c>
      <c r="G24" s="3" t="s">
        <v>33</v>
      </c>
      <c r="H24" s="5">
        <v>41.6</v>
      </c>
      <c r="I24" s="7">
        <f t="shared" si="1"/>
        <v>41.6</v>
      </c>
      <c r="J24" s="6">
        <v>2</v>
      </c>
      <c r="K24" s="7">
        <f t="shared" si="2"/>
        <v>2</v>
      </c>
    </row>
    <row r="25" spans="2:11" x14ac:dyDescent="0.25">
      <c r="B25" s="97"/>
      <c r="C25" s="98">
        <v>18</v>
      </c>
      <c r="D25" s="98" t="s">
        <v>85</v>
      </c>
      <c r="E25" s="3" t="s">
        <v>86</v>
      </c>
      <c r="F25" s="4" t="s">
        <v>87</v>
      </c>
      <c r="G25" s="3" t="s">
        <v>88</v>
      </c>
      <c r="H25" s="5">
        <v>81</v>
      </c>
      <c r="I25" s="100">
        <f>SUM(H25:H26)</f>
        <v>156.6</v>
      </c>
      <c r="J25" s="6">
        <v>2</v>
      </c>
      <c r="K25" s="100">
        <f>SUM(J25:J26)</f>
        <v>3</v>
      </c>
    </row>
    <row r="26" spans="2:11" x14ac:dyDescent="0.25">
      <c r="B26" s="97"/>
      <c r="C26" s="98"/>
      <c r="D26" s="98"/>
      <c r="E26" s="3" t="s">
        <v>89</v>
      </c>
      <c r="F26" s="4" t="s">
        <v>90</v>
      </c>
      <c r="G26" s="3" t="s">
        <v>88</v>
      </c>
      <c r="H26" s="5">
        <v>75.599999999999994</v>
      </c>
      <c r="I26" s="100"/>
      <c r="J26" s="6">
        <v>1</v>
      </c>
      <c r="K26" s="100"/>
    </row>
    <row r="27" spans="2:11" x14ac:dyDescent="0.25">
      <c r="B27" s="97"/>
      <c r="C27" s="3">
        <v>19</v>
      </c>
      <c r="D27" s="3" t="s">
        <v>63</v>
      </c>
      <c r="E27" s="3" t="s">
        <v>64</v>
      </c>
      <c r="F27" s="4" t="s">
        <v>65</v>
      </c>
      <c r="G27" s="3" t="s">
        <v>52</v>
      </c>
      <c r="H27" s="5">
        <v>25.5</v>
      </c>
      <c r="I27" s="7">
        <f>H27</f>
        <v>25.5</v>
      </c>
      <c r="J27" s="6">
        <v>1</v>
      </c>
      <c r="K27" s="7">
        <f>J27</f>
        <v>1</v>
      </c>
    </row>
    <row r="28" spans="2:11" x14ac:dyDescent="0.25">
      <c r="B28" s="97"/>
      <c r="C28" s="98">
        <v>20</v>
      </c>
      <c r="D28" s="98" t="s">
        <v>91</v>
      </c>
      <c r="E28" s="3" t="s">
        <v>92</v>
      </c>
      <c r="F28" s="3" t="s">
        <v>93</v>
      </c>
      <c r="G28" s="3" t="s">
        <v>94</v>
      </c>
      <c r="H28" s="5">
        <v>26.2</v>
      </c>
      <c r="I28" s="100">
        <f>SUM(H28:H29)</f>
        <v>118.7</v>
      </c>
      <c r="J28" s="6">
        <v>1</v>
      </c>
      <c r="K28" s="100">
        <f>SUM(J28:J29)</f>
        <v>3</v>
      </c>
    </row>
    <row r="29" spans="2:11" x14ac:dyDescent="0.25">
      <c r="B29" s="97"/>
      <c r="C29" s="98"/>
      <c r="D29" s="98"/>
      <c r="E29" s="3" t="s">
        <v>95</v>
      </c>
      <c r="F29" s="3" t="s">
        <v>96</v>
      </c>
      <c r="G29" s="3" t="s">
        <v>97</v>
      </c>
      <c r="H29" s="5">
        <v>92.5</v>
      </c>
      <c r="I29" s="100"/>
      <c r="J29" s="6">
        <v>2</v>
      </c>
      <c r="K29" s="97"/>
    </row>
    <row r="30" spans="2:11" x14ac:dyDescent="0.25">
      <c r="B30" s="8"/>
      <c r="C30" s="8"/>
      <c r="D30" s="8"/>
      <c r="E30" s="8"/>
      <c r="F30" s="8"/>
      <c r="G30" s="8"/>
      <c r="H30" s="9" t="s">
        <v>98</v>
      </c>
      <c r="I30" s="10">
        <f>SUM(I3:I29)</f>
        <v>2416.7999999999997</v>
      </c>
      <c r="J30" s="11">
        <f>SUM(J3:J29)</f>
        <v>60</v>
      </c>
      <c r="K30" s="8"/>
    </row>
  </sheetData>
  <mergeCells count="22">
    <mergeCell ref="B22:B29"/>
    <mergeCell ref="C25:C26"/>
    <mergeCell ref="D25:D26"/>
    <mergeCell ref="I25:I26"/>
    <mergeCell ref="K25:K26"/>
    <mergeCell ref="C28:C29"/>
    <mergeCell ref="D28:D29"/>
    <mergeCell ref="I28:I29"/>
    <mergeCell ref="K28:K29"/>
    <mergeCell ref="B3:B21"/>
    <mergeCell ref="C3:C6"/>
    <mergeCell ref="D3:D6"/>
    <mergeCell ref="I3:I6"/>
    <mergeCell ref="K3:K6"/>
    <mergeCell ref="C9:C10"/>
    <mergeCell ref="D9:D10"/>
    <mergeCell ref="I9:I10"/>
    <mergeCell ref="K9:K10"/>
    <mergeCell ref="C14:C15"/>
    <mergeCell ref="D14:D15"/>
    <mergeCell ref="I14:I15"/>
    <mergeCell ref="K14:K1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60C7-E85C-429B-B6AC-1DC265C0361E}">
  <dimension ref="B2:G64"/>
  <sheetViews>
    <sheetView workbookViewId="0">
      <selection activeCell="J14" sqref="J14"/>
    </sheetView>
  </sheetViews>
  <sheetFormatPr baseColWidth="10" defaultColWidth="9.140625" defaultRowHeight="15" x14ac:dyDescent="0.25"/>
  <cols>
    <col min="2" max="2" width="13.5703125" customWidth="1"/>
    <col min="3" max="3" width="11.5703125" bestFit="1" customWidth="1"/>
    <col min="4" max="4" width="12.42578125" bestFit="1" customWidth="1"/>
    <col min="5" max="5" width="24.7109375" bestFit="1" customWidth="1"/>
    <col min="6" max="6" width="13.140625" customWidth="1"/>
    <col min="7" max="7" width="22.42578125" customWidth="1"/>
  </cols>
  <sheetData>
    <row r="2" spans="2:7" x14ac:dyDescent="0.25">
      <c r="B2" s="101" t="s">
        <v>0</v>
      </c>
      <c r="C2" s="96" t="s">
        <v>2</v>
      </c>
      <c r="D2" s="101" t="s">
        <v>99</v>
      </c>
      <c r="E2" s="96" t="s">
        <v>100</v>
      </c>
      <c r="F2" s="102" t="s">
        <v>101</v>
      </c>
      <c r="G2" s="102"/>
    </row>
    <row r="3" spans="2:7" x14ac:dyDescent="0.25">
      <c r="B3" s="101"/>
      <c r="C3" s="96"/>
      <c r="D3" s="101"/>
      <c r="E3" s="96"/>
      <c r="F3" s="102"/>
      <c r="G3" s="102"/>
    </row>
    <row r="4" spans="2:7" x14ac:dyDescent="0.25">
      <c r="B4" s="101"/>
      <c r="C4" s="96"/>
      <c r="D4" s="101"/>
      <c r="E4" s="96"/>
      <c r="F4" s="13" t="s">
        <v>102</v>
      </c>
      <c r="G4" s="13" t="s">
        <v>103</v>
      </c>
    </row>
    <row r="5" spans="2:7" x14ac:dyDescent="0.25">
      <c r="B5" s="106" t="s">
        <v>10</v>
      </c>
      <c r="C5" s="103" t="s">
        <v>30</v>
      </c>
      <c r="D5" s="15" t="s">
        <v>104</v>
      </c>
      <c r="E5" s="16" t="s">
        <v>36</v>
      </c>
      <c r="F5" s="17">
        <v>6588482</v>
      </c>
      <c r="G5" s="17">
        <v>549265.69999999995</v>
      </c>
    </row>
    <row r="6" spans="2:7" x14ac:dyDescent="0.25">
      <c r="B6" s="106"/>
      <c r="C6" s="103"/>
      <c r="D6" s="15" t="s">
        <v>105</v>
      </c>
      <c r="E6" s="16" t="s">
        <v>33</v>
      </c>
      <c r="F6" s="17">
        <v>6587876.7999999998</v>
      </c>
      <c r="G6" s="17">
        <v>552049.30000000005</v>
      </c>
    </row>
    <row r="7" spans="2:7" x14ac:dyDescent="0.25">
      <c r="B7" s="106"/>
      <c r="C7" s="103"/>
      <c r="D7" s="15" t="s">
        <v>106</v>
      </c>
      <c r="E7" s="16" t="s">
        <v>33</v>
      </c>
      <c r="F7" s="17">
        <v>6587921.4000000004</v>
      </c>
      <c r="G7" s="17">
        <v>552031.9</v>
      </c>
    </row>
    <row r="8" spans="2:7" x14ac:dyDescent="0.25">
      <c r="B8" s="106"/>
      <c r="C8" s="103"/>
      <c r="D8" s="15" t="s">
        <v>107</v>
      </c>
      <c r="E8" s="16" t="s">
        <v>33</v>
      </c>
      <c r="F8" s="104" t="s">
        <v>108</v>
      </c>
      <c r="G8" s="105"/>
    </row>
    <row r="9" spans="2:7" x14ac:dyDescent="0.25">
      <c r="B9" s="106"/>
      <c r="C9" s="103"/>
      <c r="D9" s="15" t="s">
        <v>109</v>
      </c>
      <c r="E9" s="16" t="s">
        <v>33</v>
      </c>
      <c r="F9" s="104" t="s">
        <v>108</v>
      </c>
      <c r="G9" s="105"/>
    </row>
    <row r="10" spans="2:7" x14ac:dyDescent="0.25">
      <c r="B10" s="106"/>
      <c r="C10" s="103"/>
      <c r="D10" s="15" t="s">
        <v>110</v>
      </c>
      <c r="E10" s="16" t="s">
        <v>36</v>
      </c>
      <c r="F10" s="17">
        <v>6589068.5</v>
      </c>
      <c r="G10" s="17">
        <v>549872.19999999995</v>
      </c>
    </row>
    <row r="11" spans="2:7" x14ac:dyDescent="0.25">
      <c r="B11" s="106"/>
      <c r="C11" s="103"/>
      <c r="D11" s="15" t="s">
        <v>111</v>
      </c>
      <c r="E11" s="16" t="s">
        <v>36</v>
      </c>
      <c r="F11" s="104" t="s">
        <v>108</v>
      </c>
      <c r="G11" s="105"/>
    </row>
    <row r="12" spans="2:7" x14ac:dyDescent="0.25">
      <c r="B12" s="106"/>
      <c r="C12" s="103"/>
      <c r="D12" s="15" t="s">
        <v>112</v>
      </c>
      <c r="E12" s="16" t="s">
        <v>36</v>
      </c>
      <c r="F12" s="104" t="s">
        <v>108</v>
      </c>
      <c r="G12" s="105"/>
    </row>
    <row r="13" spans="2:7" x14ac:dyDescent="0.25">
      <c r="B13" s="106"/>
      <c r="C13" s="103"/>
      <c r="D13" s="15" t="s">
        <v>113</v>
      </c>
      <c r="E13" s="16" t="s">
        <v>36</v>
      </c>
      <c r="F13" s="17">
        <v>6589459.7000000002</v>
      </c>
      <c r="G13" s="17">
        <v>550796</v>
      </c>
    </row>
    <row r="14" spans="2:7" x14ac:dyDescent="0.25">
      <c r="B14" s="106"/>
      <c r="C14" s="103"/>
      <c r="D14" s="15" t="s">
        <v>114</v>
      </c>
      <c r="E14" s="16" t="s">
        <v>36</v>
      </c>
      <c r="F14" s="17">
        <v>6589452.5999999996</v>
      </c>
      <c r="G14" s="17">
        <v>550798.69999999995</v>
      </c>
    </row>
    <row r="15" spans="2:7" x14ac:dyDescent="0.25">
      <c r="B15" s="106"/>
      <c r="C15" s="103"/>
      <c r="D15" s="15" t="s">
        <v>115</v>
      </c>
      <c r="E15" s="16" t="s">
        <v>36</v>
      </c>
      <c r="F15" s="17">
        <v>6588227.4000000004</v>
      </c>
      <c r="G15" s="17">
        <v>550534.9</v>
      </c>
    </row>
    <row r="16" spans="2:7" x14ac:dyDescent="0.25">
      <c r="B16" s="106"/>
      <c r="C16" s="106" t="s">
        <v>11</v>
      </c>
      <c r="D16" s="19" t="s">
        <v>116</v>
      </c>
      <c r="E16" s="20" t="s">
        <v>17</v>
      </c>
      <c r="F16" s="107" t="s">
        <v>108</v>
      </c>
      <c r="G16" s="108"/>
    </row>
    <row r="17" spans="2:7" x14ac:dyDescent="0.25">
      <c r="B17" s="106"/>
      <c r="C17" s="106"/>
      <c r="D17" s="19" t="s">
        <v>117</v>
      </c>
      <c r="E17" s="20" t="s">
        <v>14</v>
      </c>
      <c r="F17" s="21">
        <v>6584871.4000000004</v>
      </c>
      <c r="G17" s="21">
        <v>532187.1</v>
      </c>
    </row>
    <row r="18" spans="2:7" x14ac:dyDescent="0.25">
      <c r="B18" s="106"/>
      <c r="C18" s="106"/>
      <c r="D18" s="19" t="s">
        <v>118</v>
      </c>
      <c r="E18" s="20" t="s">
        <v>17</v>
      </c>
      <c r="F18" s="21">
        <v>6584578</v>
      </c>
      <c r="G18" s="21">
        <v>531511.11</v>
      </c>
    </row>
    <row r="19" spans="2:7" x14ac:dyDescent="0.25">
      <c r="B19" s="106"/>
      <c r="C19" s="106"/>
      <c r="D19" s="19" t="s">
        <v>119</v>
      </c>
      <c r="E19" s="20" t="s">
        <v>17</v>
      </c>
      <c r="F19" s="21">
        <v>6584601.4400000004</v>
      </c>
      <c r="G19" s="21">
        <v>531505.25</v>
      </c>
    </row>
    <row r="20" spans="2:7" x14ac:dyDescent="0.25">
      <c r="B20" s="106"/>
      <c r="C20" s="106"/>
      <c r="D20" s="19" t="s">
        <v>120</v>
      </c>
      <c r="E20" s="20" t="s">
        <v>17</v>
      </c>
      <c r="F20" s="107" t="s">
        <v>108</v>
      </c>
      <c r="G20" s="108"/>
    </row>
    <row r="21" spans="2:7" x14ac:dyDescent="0.25">
      <c r="B21" s="106"/>
      <c r="C21" s="106"/>
      <c r="D21" s="19" t="s">
        <v>121</v>
      </c>
      <c r="E21" s="20" t="s">
        <v>17</v>
      </c>
      <c r="F21" s="21">
        <v>6584436.6399999997</v>
      </c>
      <c r="G21" s="21">
        <v>531617.31999999995</v>
      </c>
    </row>
    <row r="22" spans="2:7" x14ac:dyDescent="0.25">
      <c r="B22" s="106"/>
      <c r="C22" s="106"/>
      <c r="D22" s="19" t="s">
        <v>122</v>
      </c>
      <c r="E22" s="20" t="s">
        <v>17</v>
      </c>
      <c r="F22" s="21">
        <v>6584436.6399999997</v>
      </c>
      <c r="G22" s="21">
        <v>531617.31999999995</v>
      </c>
    </row>
    <row r="23" spans="2:7" x14ac:dyDescent="0.25">
      <c r="B23" s="106"/>
      <c r="C23" s="103" t="s">
        <v>41</v>
      </c>
      <c r="D23" s="15" t="s">
        <v>123</v>
      </c>
      <c r="E23" s="16" t="s">
        <v>44</v>
      </c>
      <c r="F23" s="17">
        <v>6510711.7000000002</v>
      </c>
      <c r="G23" s="17">
        <v>617622.4</v>
      </c>
    </row>
    <row r="24" spans="2:7" x14ac:dyDescent="0.25">
      <c r="B24" s="106"/>
      <c r="C24" s="103"/>
      <c r="D24" s="15" t="s">
        <v>124</v>
      </c>
      <c r="E24" s="16" t="s">
        <v>44</v>
      </c>
      <c r="F24" s="104" t="s">
        <v>108</v>
      </c>
      <c r="G24" s="105"/>
    </row>
    <row r="25" spans="2:7" x14ac:dyDescent="0.25">
      <c r="B25" s="106"/>
      <c r="C25" s="103"/>
      <c r="D25" s="15" t="s">
        <v>125</v>
      </c>
      <c r="E25" s="16" t="s">
        <v>44</v>
      </c>
      <c r="F25" s="104" t="s">
        <v>108</v>
      </c>
      <c r="G25" s="105"/>
    </row>
    <row r="26" spans="2:7" x14ac:dyDescent="0.25">
      <c r="B26" s="106"/>
      <c r="C26" s="103"/>
      <c r="D26" s="15" t="s">
        <v>126</v>
      </c>
      <c r="E26" s="16" t="s">
        <v>44</v>
      </c>
      <c r="F26" s="17">
        <v>6510953.0999999996</v>
      </c>
      <c r="G26" s="17">
        <v>617320.6</v>
      </c>
    </row>
    <row r="27" spans="2:7" x14ac:dyDescent="0.25">
      <c r="B27" s="106"/>
      <c r="C27" s="103"/>
      <c r="D27" s="15" t="s">
        <v>127</v>
      </c>
      <c r="E27" s="16" t="s">
        <v>44</v>
      </c>
      <c r="F27" s="17">
        <v>6510953.0999999996</v>
      </c>
      <c r="G27" s="17">
        <v>617320.6</v>
      </c>
    </row>
    <row r="28" spans="2:7" x14ac:dyDescent="0.25">
      <c r="B28" s="106"/>
      <c r="C28" s="103"/>
      <c r="D28" s="15" t="s">
        <v>128</v>
      </c>
      <c r="E28" s="16" t="s">
        <v>44</v>
      </c>
      <c r="F28" s="104" t="s">
        <v>108</v>
      </c>
      <c r="G28" s="105"/>
    </row>
    <row r="29" spans="2:7" x14ac:dyDescent="0.25">
      <c r="B29" s="106"/>
      <c r="C29" s="106" t="s">
        <v>59</v>
      </c>
      <c r="D29" s="19" t="s">
        <v>129</v>
      </c>
      <c r="E29" s="20" t="s">
        <v>62</v>
      </c>
      <c r="F29" s="21">
        <v>6591101.7999999998</v>
      </c>
      <c r="G29" s="21">
        <v>640410.80000000005</v>
      </c>
    </row>
    <row r="30" spans="2:7" x14ac:dyDescent="0.25">
      <c r="B30" s="106"/>
      <c r="C30" s="106"/>
      <c r="D30" s="19" t="s">
        <v>130</v>
      </c>
      <c r="E30" s="20" t="s">
        <v>62</v>
      </c>
      <c r="F30" s="107" t="s">
        <v>108</v>
      </c>
      <c r="G30" s="108"/>
    </row>
    <row r="31" spans="2:7" x14ac:dyDescent="0.25">
      <c r="B31" s="106"/>
      <c r="C31" s="106"/>
      <c r="D31" s="19" t="s">
        <v>131</v>
      </c>
      <c r="E31" s="20" t="s">
        <v>62</v>
      </c>
      <c r="F31" s="107" t="s">
        <v>108</v>
      </c>
      <c r="G31" s="108"/>
    </row>
    <row r="32" spans="2:7" x14ac:dyDescent="0.25">
      <c r="B32" s="106"/>
      <c r="C32" s="106"/>
      <c r="D32" s="19" t="s">
        <v>132</v>
      </c>
      <c r="E32" s="20" t="s">
        <v>62</v>
      </c>
      <c r="F32" s="107" t="s">
        <v>108</v>
      </c>
      <c r="G32" s="108"/>
    </row>
    <row r="33" spans="2:7" x14ac:dyDescent="0.25">
      <c r="B33" s="106"/>
      <c r="C33" s="103" t="s">
        <v>26</v>
      </c>
      <c r="D33" s="15" t="s">
        <v>133</v>
      </c>
      <c r="E33" s="16" t="s">
        <v>29</v>
      </c>
      <c r="F33" s="104" t="s">
        <v>108</v>
      </c>
      <c r="G33" s="105"/>
    </row>
    <row r="34" spans="2:7" x14ac:dyDescent="0.25">
      <c r="B34" s="106"/>
      <c r="C34" s="103"/>
      <c r="D34" s="15" t="s">
        <v>134</v>
      </c>
      <c r="E34" s="16" t="s">
        <v>29</v>
      </c>
      <c r="F34" s="104" t="s">
        <v>108</v>
      </c>
      <c r="G34" s="105"/>
    </row>
    <row r="35" spans="2:7" x14ac:dyDescent="0.25">
      <c r="B35" s="106"/>
      <c r="C35" s="106" t="s">
        <v>37</v>
      </c>
      <c r="D35" s="19" t="s">
        <v>135</v>
      </c>
      <c r="E35" s="20" t="s">
        <v>40</v>
      </c>
      <c r="F35" s="21">
        <v>6591080.7000000002</v>
      </c>
      <c r="G35" s="21">
        <v>667441.30000000005</v>
      </c>
    </row>
    <row r="36" spans="2:7" x14ac:dyDescent="0.25">
      <c r="B36" s="106"/>
      <c r="C36" s="106"/>
      <c r="D36" s="19" t="s">
        <v>136</v>
      </c>
      <c r="E36" s="20" t="s">
        <v>40</v>
      </c>
      <c r="F36" s="107" t="s">
        <v>108</v>
      </c>
      <c r="G36" s="108"/>
    </row>
    <row r="37" spans="2:7" x14ac:dyDescent="0.25">
      <c r="B37" s="106"/>
      <c r="C37" s="103" t="s">
        <v>49</v>
      </c>
      <c r="D37" s="15" t="s">
        <v>137</v>
      </c>
      <c r="E37" s="16" t="s">
        <v>52</v>
      </c>
      <c r="F37" s="104" t="s">
        <v>108</v>
      </c>
      <c r="G37" s="105"/>
    </row>
    <row r="38" spans="2:7" x14ac:dyDescent="0.25">
      <c r="B38" s="106"/>
      <c r="C38" s="103"/>
      <c r="D38" s="15" t="s">
        <v>138</v>
      </c>
      <c r="E38" s="16" t="s">
        <v>52</v>
      </c>
      <c r="F38" s="104" t="s">
        <v>108</v>
      </c>
      <c r="G38" s="105"/>
    </row>
    <row r="39" spans="2:7" x14ac:dyDescent="0.25">
      <c r="B39" s="106"/>
      <c r="C39" s="106" t="s">
        <v>70</v>
      </c>
      <c r="D39" s="19" t="s">
        <v>139</v>
      </c>
      <c r="E39" s="20" t="s">
        <v>73</v>
      </c>
      <c r="F39" s="21">
        <v>6550096.5</v>
      </c>
      <c r="G39" s="21">
        <v>542437.1</v>
      </c>
    </row>
    <row r="40" spans="2:7" x14ac:dyDescent="0.25">
      <c r="B40" s="106"/>
      <c r="C40" s="106"/>
      <c r="D40" s="19" t="s">
        <v>140</v>
      </c>
      <c r="E40" s="20" t="s">
        <v>73</v>
      </c>
      <c r="F40" s="107" t="s">
        <v>108</v>
      </c>
      <c r="G40" s="108"/>
    </row>
    <row r="41" spans="2:7" x14ac:dyDescent="0.25">
      <c r="B41" s="106"/>
      <c r="C41" s="14" t="s">
        <v>22</v>
      </c>
      <c r="D41" s="15" t="s">
        <v>141</v>
      </c>
      <c r="E41" s="16" t="s">
        <v>25</v>
      </c>
      <c r="F41" s="104" t="s">
        <v>108</v>
      </c>
      <c r="G41" s="105"/>
    </row>
    <row r="42" spans="2:7" x14ac:dyDescent="0.25">
      <c r="B42" s="106"/>
      <c r="C42" s="18" t="s">
        <v>142</v>
      </c>
      <c r="D42" s="19" t="s">
        <v>143</v>
      </c>
      <c r="E42" s="20" t="s">
        <v>58</v>
      </c>
      <c r="F42" s="107" t="s">
        <v>108</v>
      </c>
      <c r="G42" s="108"/>
    </row>
    <row r="43" spans="2:7" x14ac:dyDescent="0.25">
      <c r="B43" s="106"/>
      <c r="C43" s="14" t="s">
        <v>66</v>
      </c>
      <c r="D43" s="15" t="s">
        <v>144</v>
      </c>
      <c r="E43" s="16" t="s">
        <v>69</v>
      </c>
      <c r="F43" s="104" t="s">
        <v>108</v>
      </c>
      <c r="G43" s="105"/>
    </row>
    <row r="44" spans="2:7" x14ac:dyDescent="0.25">
      <c r="B44" s="106"/>
      <c r="C44" s="18" t="s">
        <v>74</v>
      </c>
      <c r="D44" s="19" t="s">
        <v>145</v>
      </c>
      <c r="E44" s="20" t="s">
        <v>77</v>
      </c>
      <c r="F44" s="21">
        <v>6559701.7000000002</v>
      </c>
      <c r="G44" s="21">
        <v>535422</v>
      </c>
    </row>
    <row r="45" spans="2:7" x14ac:dyDescent="0.25">
      <c r="B45" s="109" t="s">
        <v>146</v>
      </c>
      <c r="C45" s="103" t="s">
        <v>45</v>
      </c>
      <c r="D45" s="15" t="s">
        <v>147</v>
      </c>
      <c r="E45" s="16" t="s">
        <v>48</v>
      </c>
      <c r="F45" s="17">
        <v>6516986.2999999998</v>
      </c>
      <c r="G45" s="17">
        <v>615543.1</v>
      </c>
    </row>
    <row r="46" spans="2:7" x14ac:dyDescent="0.25">
      <c r="B46" s="109"/>
      <c r="C46" s="103"/>
      <c r="D46" s="15" t="s">
        <v>148</v>
      </c>
      <c r="E46" s="16" t="s">
        <v>48</v>
      </c>
      <c r="F46" s="104" t="s">
        <v>108</v>
      </c>
      <c r="G46" s="105"/>
    </row>
    <row r="47" spans="2:7" x14ac:dyDescent="0.25">
      <c r="B47" s="109"/>
      <c r="C47" s="103"/>
      <c r="D47" s="15" t="s">
        <v>149</v>
      </c>
      <c r="E47" s="16" t="s">
        <v>48</v>
      </c>
      <c r="F47" s="104" t="s">
        <v>108</v>
      </c>
      <c r="G47" s="105"/>
    </row>
    <row r="48" spans="2:7" x14ac:dyDescent="0.25">
      <c r="B48" s="109"/>
      <c r="C48" s="103"/>
      <c r="D48" s="15" t="s">
        <v>150</v>
      </c>
      <c r="E48" s="16" t="s">
        <v>48</v>
      </c>
      <c r="F48" s="22">
        <v>6516919.5</v>
      </c>
      <c r="G48" s="22">
        <v>615577.19999999995</v>
      </c>
    </row>
    <row r="49" spans="2:7" x14ac:dyDescent="0.25">
      <c r="B49" s="109"/>
      <c r="C49" s="103"/>
      <c r="D49" s="15" t="s">
        <v>151</v>
      </c>
      <c r="E49" s="16" t="s">
        <v>48</v>
      </c>
      <c r="F49" s="104" t="s">
        <v>108</v>
      </c>
      <c r="G49" s="105"/>
    </row>
    <row r="50" spans="2:7" x14ac:dyDescent="0.25">
      <c r="B50" s="109"/>
      <c r="C50" s="106" t="s">
        <v>63</v>
      </c>
      <c r="D50" s="19" t="s">
        <v>152</v>
      </c>
      <c r="E50" s="20" t="s">
        <v>52</v>
      </c>
      <c r="F50" s="21">
        <v>6532743.4000000004</v>
      </c>
      <c r="G50" s="21">
        <v>540117.1</v>
      </c>
    </row>
    <row r="51" spans="2:7" x14ac:dyDescent="0.25">
      <c r="B51" s="109"/>
      <c r="C51" s="106"/>
      <c r="D51" s="19" t="s">
        <v>153</v>
      </c>
      <c r="E51" s="20" t="s">
        <v>52</v>
      </c>
      <c r="F51" s="107" t="s">
        <v>108</v>
      </c>
      <c r="G51" s="108"/>
    </row>
    <row r="52" spans="2:7" x14ac:dyDescent="0.25">
      <c r="B52" s="109"/>
      <c r="C52" s="106"/>
      <c r="D52" s="19" t="s">
        <v>154</v>
      </c>
      <c r="E52" s="20" t="s">
        <v>52</v>
      </c>
      <c r="F52" s="107" t="s">
        <v>108</v>
      </c>
      <c r="G52" s="108"/>
    </row>
    <row r="53" spans="2:7" x14ac:dyDescent="0.25">
      <c r="B53" s="106" t="s">
        <v>78</v>
      </c>
      <c r="C53" s="103" t="s">
        <v>79</v>
      </c>
      <c r="D53" s="15" t="s">
        <v>155</v>
      </c>
      <c r="E53" s="16" t="s">
        <v>52</v>
      </c>
      <c r="F53" s="17">
        <v>6502465.2999999998</v>
      </c>
      <c r="G53" s="17">
        <v>605067.6</v>
      </c>
    </row>
    <row r="54" spans="2:7" x14ac:dyDescent="0.25">
      <c r="B54" s="106"/>
      <c r="C54" s="103"/>
      <c r="D54" s="15" t="s">
        <v>156</v>
      </c>
      <c r="E54" s="16" t="s">
        <v>52</v>
      </c>
      <c r="F54" s="104" t="s">
        <v>108</v>
      </c>
      <c r="G54" s="105"/>
    </row>
    <row r="55" spans="2:7" x14ac:dyDescent="0.25">
      <c r="B55" s="106"/>
      <c r="C55" s="103"/>
      <c r="D55" s="15" t="s">
        <v>157</v>
      </c>
      <c r="E55" s="16" t="s">
        <v>52</v>
      </c>
      <c r="F55" s="17">
        <v>6502448.7999999998</v>
      </c>
      <c r="G55" s="17">
        <v>605046.9</v>
      </c>
    </row>
    <row r="56" spans="2:7" x14ac:dyDescent="0.25">
      <c r="B56" s="106"/>
      <c r="C56" s="103"/>
      <c r="D56" s="15" t="s">
        <v>158</v>
      </c>
      <c r="E56" s="16" t="s">
        <v>52</v>
      </c>
      <c r="F56" s="104" t="s">
        <v>108</v>
      </c>
      <c r="G56" s="105"/>
    </row>
    <row r="57" spans="2:7" x14ac:dyDescent="0.25">
      <c r="B57" s="106"/>
      <c r="C57" s="106" t="s">
        <v>85</v>
      </c>
      <c r="D57" s="19" t="s">
        <v>159</v>
      </c>
      <c r="E57" s="20" t="s">
        <v>88</v>
      </c>
      <c r="F57" s="21">
        <v>6498510.5</v>
      </c>
      <c r="G57" s="21">
        <v>533326.4</v>
      </c>
    </row>
    <row r="58" spans="2:7" x14ac:dyDescent="0.25">
      <c r="B58" s="106"/>
      <c r="C58" s="106"/>
      <c r="D58" s="19" t="s">
        <v>160</v>
      </c>
      <c r="E58" s="20" t="s">
        <v>88</v>
      </c>
      <c r="F58" s="107" t="s">
        <v>108</v>
      </c>
      <c r="G58" s="108"/>
    </row>
    <row r="59" spans="2:7" x14ac:dyDescent="0.25">
      <c r="B59" s="106"/>
      <c r="C59" s="106"/>
      <c r="D59" s="19" t="s">
        <v>161</v>
      </c>
      <c r="E59" s="20" t="s">
        <v>88</v>
      </c>
      <c r="F59" s="107" t="s">
        <v>108</v>
      </c>
      <c r="G59" s="108"/>
    </row>
    <row r="60" spans="2:7" x14ac:dyDescent="0.25">
      <c r="B60" s="106"/>
      <c r="C60" s="103" t="s">
        <v>91</v>
      </c>
      <c r="D60" s="15" t="s">
        <v>162</v>
      </c>
      <c r="E60" s="16" t="s">
        <v>73</v>
      </c>
      <c r="F60" s="17">
        <v>6404823.7999999998</v>
      </c>
      <c r="G60" s="17">
        <v>709626.2</v>
      </c>
    </row>
    <row r="61" spans="2:7" x14ac:dyDescent="0.25">
      <c r="B61" s="106"/>
      <c r="C61" s="103"/>
      <c r="D61" s="15" t="s">
        <v>163</v>
      </c>
      <c r="E61" s="16" t="s">
        <v>73</v>
      </c>
      <c r="F61" s="104" t="s">
        <v>108</v>
      </c>
      <c r="G61" s="105"/>
    </row>
    <row r="62" spans="2:7" x14ac:dyDescent="0.25">
      <c r="B62" s="106"/>
      <c r="C62" s="103"/>
      <c r="D62" s="15" t="s">
        <v>164</v>
      </c>
      <c r="E62" s="16" t="s">
        <v>94</v>
      </c>
      <c r="F62" s="104" t="s">
        <v>108</v>
      </c>
      <c r="G62" s="105"/>
    </row>
    <row r="63" spans="2:7" x14ac:dyDescent="0.25">
      <c r="B63" s="106"/>
      <c r="C63" s="106" t="s">
        <v>82</v>
      </c>
      <c r="D63" s="19" t="s">
        <v>165</v>
      </c>
      <c r="E63" s="20" t="s">
        <v>33</v>
      </c>
      <c r="F63" s="21">
        <v>6527191</v>
      </c>
      <c r="G63" s="21">
        <v>601437.80000000005</v>
      </c>
    </row>
    <row r="64" spans="2:7" x14ac:dyDescent="0.25">
      <c r="B64" s="106"/>
      <c r="C64" s="106"/>
      <c r="D64" s="19" t="s">
        <v>166</v>
      </c>
      <c r="E64" s="20" t="s">
        <v>33</v>
      </c>
      <c r="F64" s="107" t="s">
        <v>108</v>
      </c>
      <c r="G64" s="108"/>
    </row>
  </sheetData>
  <mergeCells count="55">
    <mergeCell ref="F62:G62"/>
    <mergeCell ref="C63:C64"/>
    <mergeCell ref="F64:G64"/>
    <mergeCell ref="F52:G52"/>
    <mergeCell ref="B53:B64"/>
    <mergeCell ref="C53:C56"/>
    <mergeCell ref="F54:G54"/>
    <mergeCell ref="F56:G56"/>
    <mergeCell ref="C57:C59"/>
    <mergeCell ref="F58:G58"/>
    <mergeCell ref="F59:G59"/>
    <mergeCell ref="C60:C62"/>
    <mergeCell ref="F61:G61"/>
    <mergeCell ref="F41:G41"/>
    <mergeCell ref="F42:G42"/>
    <mergeCell ref="F43:G43"/>
    <mergeCell ref="B45:B52"/>
    <mergeCell ref="C45:C49"/>
    <mergeCell ref="F46:G46"/>
    <mergeCell ref="F47:G47"/>
    <mergeCell ref="F49:G49"/>
    <mergeCell ref="C50:C52"/>
    <mergeCell ref="F51:G51"/>
    <mergeCell ref="B5:B44"/>
    <mergeCell ref="C39:C40"/>
    <mergeCell ref="F40:G40"/>
    <mergeCell ref="C29:C32"/>
    <mergeCell ref="F30:G30"/>
    <mergeCell ref="F31:G31"/>
    <mergeCell ref="C33:C34"/>
    <mergeCell ref="F33:G33"/>
    <mergeCell ref="F34:G34"/>
    <mergeCell ref="C35:C36"/>
    <mergeCell ref="F36:G36"/>
    <mergeCell ref="C37:C38"/>
    <mergeCell ref="F37:G37"/>
    <mergeCell ref="F38:G38"/>
    <mergeCell ref="F12:G12"/>
    <mergeCell ref="C16:C22"/>
    <mergeCell ref="F16:G16"/>
    <mergeCell ref="F20:G20"/>
    <mergeCell ref="C23:C28"/>
    <mergeCell ref="F24:G24"/>
    <mergeCell ref="F25:G25"/>
    <mergeCell ref="F28:G28"/>
    <mergeCell ref="C5:C15"/>
    <mergeCell ref="F8:G8"/>
    <mergeCell ref="F9:G9"/>
    <mergeCell ref="F11:G11"/>
    <mergeCell ref="F32:G32"/>
    <mergeCell ref="B2:B4"/>
    <mergeCell ref="C2:C4"/>
    <mergeCell ref="D2:D4"/>
    <mergeCell ref="E2:E4"/>
    <mergeCell ref="F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79DF-A42B-4950-9729-7B4F546887FF}">
  <dimension ref="A1:P62"/>
  <sheetViews>
    <sheetView workbookViewId="0">
      <selection activeCell="F1" sqref="F1:F2"/>
    </sheetView>
  </sheetViews>
  <sheetFormatPr baseColWidth="10" defaultColWidth="9.140625" defaultRowHeight="15" x14ac:dyDescent="0.25"/>
  <cols>
    <col min="1" max="1" width="12.42578125" bestFit="1" customWidth="1"/>
    <col min="4" max="4" width="10.5703125" customWidth="1"/>
    <col min="5" max="5" width="11.28515625" customWidth="1"/>
    <col min="6" max="6" width="13.28515625" customWidth="1"/>
  </cols>
  <sheetData>
    <row r="1" spans="1:16" x14ac:dyDescent="0.25">
      <c r="A1" s="101" t="s">
        <v>99</v>
      </c>
      <c r="B1" s="96" t="s">
        <v>167</v>
      </c>
      <c r="C1" s="96"/>
      <c r="D1" s="96"/>
      <c r="E1" s="101" t="s">
        <v>168</v>
      </c>
      <c r="F1" s="101" t="s">
        <v>169</v>
      </c>
      <c r="G1" s="96" t="s">
        <v>170</v>
      </c>
      <c r="H1" s="96"/>
      <c r="I1" s="96"/>
      <c r="J1" s="96"/>
      <c r="K1" s="96"/>
      <c r="L1" s="96"/>
      <c r="M1" s="96"/>
      <c r="N1" s="96"/>
      <c r="O1" s="96"/>
      <c r="P1" s="96"/>
    </row>
    <row r="2" spans="1:16" x14ac:dyDescent="0.25">
      <c r="A2" s="101"/>
      <c r="B2" s="12" t="s">
        <v>171</v>
      </c>
      <c r="C2" s="12" t="s">
        <v>172</v>
      </c>
      <c r="D2" s="12" t="s">
        <v>173</v>
      </c>
      <c r="E2" s="101"/>
      <c r="F2" s="101"/>
      <c r="G2" s="12">
        <v>8</v>
      </c>
      <c r="H2" s="12">
        <v>6.3</v>
      </c>
      <c r="I2" s="12">
        <v>4</v>
      </c>
      <c r="J2" s="12">
        <v>2</v>
      </c>
      <c r="K2" s="12">
        <v>1</v>
      </c>
      <c r="L2" s="12">
        <v>0.5</v>
      </c>
      <c r="M2" s="12">
        <v>0.25</v>
      </c>
      <c r="N2" s="12">
        <v>0.125</v>
      </c>
      <c r="O2" s="12">
        <v>6.3E-2</v>
      </c>
      <c r="P2" s="12">
        <v>0</v>
      </c>
    </row>
    <row r="3" spans="1:16" x14ac:dyDescent="0.25">
      <c r="A3" s="23" t="s">
        <v>116</v>
      </c>
      <c r="B3" s="24">
        <v>1285.5999999999999</v>
      </c>
      <c r="C3" s="24">
        <v>1225.4000000000001</v>
      </c>
      <c r="D3" s="24">
        <f>B3-C3</f>
        <v>60.199999999999818</v>
      </c>
      <c r="E3" s="24">
        <f>(D3/B3)*100</f>
        <v>4.6826384567516977</v>
      </c>
      <c r="F3" s="24">
        <v>1210.6000000000001</v>
      </c>
      <c r="G3" s="24">
        <v>0</v>
      </c>
      <c r="H3" s="24">
        <v>2.4</v>
      </c>
      <c r="I3" s="24">
        <v>31.2</v>
      </c>
      <c r="J3" s="24">
        <v>360</v>
      </c>
      <c r="K3" s="24">
        <v>282.60000000000002</v>
      </c>
      <c r="L3" s="24">
        <v>149.19999999999999</v>
      </c>
      <c r="M3" s="24">
        <v>86.6</v>
      </c>
      <c r="N3" s="24">
        <v>60.4</v>
      </c>
      <c r="O3" s="24">
        <v>46.6</v>
      </c>
      <c r="P3" s="24">
        <f>13+163+15.6</f>
        <v>191.6</v>
      </c>
    </row>
    <row r="4" spans="1:16" x14ac:dyDescent="0.25">
      <c r="A4" s="23" t="s">
        <v>104</v>
      </c>
      <c r="B4" s="24">
        <v>1517.4</v>
      </c>
      <c r="C4" s="24">
        <v>1472</v>
      </c>
      <c r="D4" s="24">
        <f t="shared" ref="D4:D62" si="0">B4-C4</f>
        <v>45.400000000000091</v>
      </c>
      <c r="E4" s="24">
        <f t="shared" ref="E4:E62" si="1">(D4/B4)*100</f>
        <v>2.9919599314617167</v>
      </c>
      <c r="F4" s="24">
        <v>170.79999999999998</v>
      </c>
      <c r="G4" s="24">
        <v>0</v>
      </c>
      <c r="H4" s="24">
        <v>0</v>
      </c>
      <c r="I4" s="24">
        <v>13.4</v>
      </c>
      <c r="J4" s="24">
        <v>46.4</v>
      </c>
      <c r="K4" s="24">
        <v>33</v>
      </c>
      <c r="L4" s="24">
        <v>20.8</v>
      </c>
      <c r="M4" s="24">
        <v>12.8</v>
      </c>
      <c r="N4" s="24">
        <v>9.4</v>
      </c>
      <c r="O4" s="24">
        <v>8.1999999999999993</v>
      </c>
      <c r="P4" s="24">
        <v>26.8</v>
      </c>
    </row>
    <row r="5" spans="1:16" x14ac:dyDescent="0.25">
      <c r="A5" s="23" t="s">
        <v>105</v>
      </c>
      <c r="B5" s="24">
        <v>1571.2</v>
      </c>
      <c r="C5" s="24">
        <v>1530.2</v>
      </c>
      <c r="D5" s="24">
        <f t="shared" si="0"/>
        <v>41</v>
      </c>
      <c r="E5" s="24">
        <f t="shared" si="1"/>
        <v>2.6094704684317716</v>
      </c>
      <c r="F5" s="24">
        <v>172.20000000000002</v>
      </c>
      <c r="G5" s="24">
        <v>0</v>
      </c>
      <c r="H5" s="24">
        <v>0</v>
      </c>
      <c r="I5" s="24">
        <v>6.8</v>
      </c>
      <c r="J5" s="24">
        <v>53.4</v>
      </c>
      <c r="K5" s="24">
        <v>34.799999999999997</v>
      </c>
      <c r="L5" s="24">
        <v>20.2</v>
      </c>
      <c r="M5" s="24">
        <v>13.4</v>
      </c>
      <c r="N5" s="24">
        <v>10.4</v>
      </c>
      <c r="O5" s="24">
        <v>7.8</v>
      </c>
      <c r="P5" s="24">
        <f>11+14.4</f>
        <v>25.4</v>
      </c>
    </row>
    <row r="6" spans="1:16" x14ac:dyDescent="0.25">
      <c r="A6" s="23" t="s">
        <v>117</v>
      </c>
      <c r="B6" s="24">
        <v>1314.2</v>
      </c>
      <c r="C6" s="24">
        <v>1256.4000000000001</v>
      </c>
      <c r="D6" s="24">
        <f t="shared" si="0"/>
        <v>57.799999999999955</v>
      </c>
      <c r="E6" s="24">
        <f t="shared" si="1"/>
        <v>4.3981129204078488</v>
      </c>
      <c r="F6" s="24">
        <v>163.6</v>
      </c>
      <c r="G6" s="24">
        <v>0</v>
      </c>
      <c r="H6" s="24">
        <v>0</v>
      </c>
      <c r="I6" s="24">
        <v>2.4</v>
      </c>
      <c r="J6" s="24">
        <v>40.799999999999997</v>
      </c>
      <c r="K6" s="24">
        <v>43.8</v>
      </c>
      <c r="L6" s="24">
        <v>22.6</v>
      </c>
      <c r="M6" s="24">
        <v>11.8</v>
      </c>
      <c r="N6" s="24">
        <v>7.8</v>
      </c>
      <c r="O6" s="24">
        <v>5.4</v>
      </c>
      <c r="P6" s="24">
        <f>3+26</f>
        <v>29</v>
      </c>
    </row>
    <row r="7" spans="1:16" x14ac:dyDescent="0.25">
      <c r="A7" s="23" t="s">
        <v>129</v>
      </c>
      <c r="B7" s="24">
        <v>1222.2</v>
      </c>
      <c r="C7" s="24">
        <v>1158.5999999999999</v>
      </c>
      <c r="D7" s="24">
        <f t="shared" si="0"/>
        <v>63.600000000000136</v>
      </c>
      <c r="E7" s="24">
        <f t="shared" si="1"/>
        <v>5.203730976926864</v>
      </c>
      <c r="F7" s="24">
        <v>159</v>
      </c>
      <c r="G7" s="24">
        <v>0</v>
      </c>
      <c r="H7" s="24">
        <v>0</v>
      </c>
      <c r="I7" s="24">
        <v>19.600000000000001</v>
      </c>
      <c r="J7" s="24">
        <v>37.200000000000003</v>
      </c>
      <c r="K7" s="24">
        <v>23.6</v>
      </c>
      <c r="L7" s="24">
        <v>14.2</v>
      </c>
      <c r="M7" s="24">
        <v>10</v>
      </c>
      <c r="N7" s="24">
        <v>11</v>
      </c>
      <c r="O7" s="24">
        <v>10.4</v>
      </c>
      <c r="P7" s="24">
        <f>2.2+30.8</f>
        <v>33</v>
      </c>
    </row>
    <row r="8" spans="1:16" x14ac:dyDescent="0.25">
      <c r="A8" s="23" t="s">
        <v>130</v>
      </c>
      <c r="B8" s="24">
        <v>1168.5999999999999</v>
      </c>
      <c r="C8" s="24">
        <v>1078.5999999999999</v>
      </c>
      <c r="D8" s="24">
        <f t="shared" si="0"/>
        <v>90</v>
      </c>
      <c r="E8" s="24">
        <f t="shared" si="1"/>
        <v>7.7015231901420513</v>
      </c>
      <c r="F8" s="24">
        <v>146.79999999999998</v>
      </c>
      <c r="G8" s="24">
        <v>0</v>
      </c>
      <c r="H8" s="24">
        <v>0</v>
      </c>
      <c r="I8" s="24">
        <v>17.2</v>
      </c>
      <c r="J8" s="24">
        <v>35.799999999999997</v>
      </c>
      <c r="K8" s="24">
        <v>22.6</v>
      </c>
      <c r="L8" s="24">
        <v>14.6</v>
      </c>
      <c r="M8" s="24">
        <v>11</v>
      </c>
      <c r="N8" s="24">
        <v>9</v>
      </c>
      <c r="O8" s="24">
        <v>5.8</v>
      </c>
      <c r="P8" s="24">
        <f>4+26.8</f>
        <v>30.8</v>
      </c>
    </row>
    <row r="9" spans="1:16" x14ac:dyDescent="0.25">
      <c r="A9" s="23" t="s">
        <v>143</v>
      </c>
      <c r="B9" s="24">
        <v>1252</v>
      </c>
      <c r="C9" s="24">
        <v>1137.8</v>
      </c>
      <c r="D9" s="24">
        <f t="shared" si="0"/>
        <v>114.20000000000005</v>
      </c>
      <c r="E9" s="24">
        <f t="shared" si="1"/>
        <v>9.1214057507987256</v>
      </c>
      <c r="F9" s="24">
        <v>167</v>
      </c>
      <c r="G9" s="24">
        <v>0</v>
      </c>
      <c r="H9" s="24">
        <v>9.8000000000000007</v>
      </c>
      <c r="I9" s="24">
        <v>27</v>
      </c>
      <c r="J9" s="24">
        <v>35.200000000000003</v>
      </c>
      <c r="K9" s="24">
        <v>24</v>
      </c>
      <c r="L9" s="24">
        <v>12.8</v>
      </c>
      <c r="M9" s="24">
        <v>7</v>
      </c>
      <c r="N9" s="24">
        <v>4.4000000000000004</v>
      </c>
      <c r="O9" s="24">
        <v>5</v>
      </c>
      <c r="P9" s="24">
        <f>3.4+38.4</f>
        <v>41.8</v>
      </c>
    </row>
    <row r="10" spans="1:16" x14ac:dyDescent="0.25">
      <c r="A10" s="23" t="s">
        <v>159</v>
      </c>
      <c r="B10" s="24">
        <v>1401.2</v>
      </c>
      <c r="C10" s="24">
        <v>1346.8</v>
      </c>
      <c r="D10" s="24">
        <f t="shared" si="0"/>
        <v>54.400000000000091</v>
      </c>
      <c r="E10" s="24">
        <f t="shared" si="1"/>
        <v>3.8823865258350048</v>
      </c>
      <c r="F10" s="24">
        <v>173</v>
      </c>
      <c r="G10" s="24">
        <v>0</v>
      </c>
      <c r="H10" s="24">
        <v>0</v>
      </c>
      <c r="I10" s="24">
        <v>11.6</v>
      </c>
      <c r="J10" s="24">
        <v>49.4</v>
      </c>
      <c r="K10" s="24">
        <v>35</v>
      </c>
      <c r="L10" s="24">
        <v>18.2</v>
      </c>
      <c r="M10" s="24">
        <v>8.1999999999999993</v>
      </c>
      <c r="N10" s="24">
        <v>4.4000000000000004</v>
      </c>
      <c r="O10" s="24">
        <v>7.4</v>
      </c>
      <c r="P10" s="24">
        <f>15.8+23</f>
        <v>38.799999999999997</v>
      </c>
    </row>
    <row r="11" spans="1:16" x14ac:dyDescent="0.25">
      <c r="A11" s="23" t="s">
        <v>160</v>
      </c>
      <c r="B11" s="24">
        <v>1410.6</v>
      </c>
      <c r="C11" s="24">
        <v>1323.6</v>
      </c>
      <c r="D11" s="24">
        <f t="shared" si="0"/>
        <v>87</v>
      </c>
      <c r="E11" s="24">
        <f t="shared" si="1"/>
        <v>6.1675882603147603</v>
      </c>
      <c r="F11" s="24">
        <v>165.6</v>
      </c>
      <c r="G11" s="24">
        <v>0</v>
      </c>
      <c r="H11" s="24">
        <v>1.6</v>
      </c>
      <c r="I11" s="24">
        <v>20.2</v>
      </c>
      <c r="J11" s="24">
        <v>42.2</v>
      </c>
      <c r="K11" s="24">
        <v>29.8</v>
      </c>
      <c r="L11" s="24">
        <v>16.2</v>
      </c>
      <c r="M11" s="24">
        <v>7.6</v>
      </c>
      <c r="N11" s="24">
        <v>4.4000000000000004</v>
      </c>
      <c r="O11" s="24">
        <v>7</v>
      </c>
      <c r="P11" s="24">
        <f>7+29.6</f>
        <v>36.6</v>
      </c>
    </row>
    <row r="12" spans="1:16" x14ac:dyDescent="0.25">
      <c r="A12" s="23" t="s">
        <v>161</v>
      </c>
      <c r="B12" s="24">
        <v>1508.2</v>
      </c>
      <c r="C12" s="24">
        <v>1396.4</v>
      </c>
      <c r="D12" s="24">
        <f t="shared" si="0"/>
        <v>111.79999999999995</v>
      </c>
      <c r="E12" s="24">
        <f t="shared" si="1"/>
        <v>7.4128099721522318</v>
      </c>
      <c r="F12" s="24">
        <v>162.80000000000001</v>
      </c>
      <c r="G12" s="24">
        <v>0</v>
      </c>
      <c r="H12" s="24">
        <v>1.2</v>
      </c>
      <c r="I12" s="24">
        <v>20.6</v>
      </c>
      <c r="J12" s="24">
        <v>44.4</v>
      </c>
      <c r="K12" s="24">
        <v>28.8</v>
      </c>
      <c r="L12" s="24">
        <v>15.2</v>
      </c>
      <c r="M12" s="24">
        <v>7</v>
      </c>
      <c r="N12" s="24">
        <v>3.2</v>
      </c>
      <c r="O12" s="24">
        <v>5.4</v>
      </c>
      <c r="P12" s="24">
        <f>3.2+33.8</f>
        <v>37</v>
      </c>
    </row>
    <row r="13" spans="1:16" x14ac:dyDescent="0.25">
      <c r="A13" s="23" t="s">
        <v>144</v>
      </c>
      <c r="B13" s="24">
        <v>1418.8</v>
      </c>
      <c r="C13" s="24">
        <v>1300</v>
      </c>
      <c r="D13" s="24">
        <f t="shared" si="0"/>
        <v>118.79999999999995</v>
      </c>
      <c r="E13" s="24">
        <f t="shared" si="1"/>
        <v>8.3732731886100904</v>
      </c>
      <c r="F13" s="24">
        <v>171.8</v>
      </c>
      <c r="G13" s="24">
        <v>4.4000000000000004</v>
      </c>
      <c r="H13" s="24">
        <v>3.8</v>
      </c>
      <c r="I13" s="24">
        <v>19.600000000000001</v>
      </c>
      <c r="J13" s="24">
        <v>31</v>
      </c>
      <c r="K13" s="24">
        <v>26.6</v>
      </c>
      <c r="L13" s="24">
        <v>16.2</v>
      </c>
      <c r="M13" s="24">
        <v>10.8</v>
      </c>
      <c r="N13" s="24">
        <v>7.8</v>
      </c>
      <c r="O13" s="24">
        <v>7.2</v>
      </c>
      <c r="P13" s="24">
        <f>3.4+41</f>
        <v>44.4</v>
      </c>
    </row>
    <row r="14" spans="1:16" x14ac:dyDescent="0.25">
      <c r="A14" s="23" t="s">
        <v>139</v>
      </c>
      <c r="B14" s="24">
        <v>1465</v>
      </c>
      <c r="C14" s="24">
        <v>1411.8</v>
      </c>
      <c r="D14" s="24">
        <f t="shared" si="0"/>
        <v>53.200000000000045</v>
      </c>
      <c r="E14" s="24">
        <f t="shared" si="1"/>
        <v>3.6313993174061463</v>
      </c>
      <c r="F14" s="24">
        <v>172.39999999999998</v>
      </c>
      <c r="G14" s="24">
        <v>0.2</v>
      </c>
      <c r="H14" s="24">
        <v>5.6</v>
      </c>
      <c r="I14" s="24">
        <v>28.2</v>
      </c>
      <c r="J14" s="24">
        <v>44.4</v>
      </c>
      <c r="K14" s="24">
        <v>26.6</v>
      </c>
      <c r="L14" s="24">
        <v>14</v>
      </c>
      <c r="M14" s="24">
        <v>8</v>
      </c>
      <c r="N14" s="24">
        <v>5.4</v>
      </c>
      <c r="O14" s="24">
        <v>4.2</v>
      </c>
      <c r="P14" s="24">
        <f>5.6+30.2</f>
        <v>35.799999999999997</v>
      </c>
    </row>
    <row r="15" spans="1:16" x14ac:dyDescent="0.25">
      <c r="A15" s="23" t="s">
        <v>140</v>
      </c>
      <c r="B15" s="24">
        <v>1591.2</v>
      </c>
      <c r="C15" s="24">
        <v>1489.6</v>
      </c>
      <c r="D15" s="24">
        <f t="shared" si="0"/>
        <v>101.60000000000014</v>
      </c>
      <c r="E15" s="24">
        <f t="shared" si="1"/>
        <v>6.3851181498240397</v>
      </c>
      <c r="F15" s="24">
        <v>183.2</v>
      </c>
      <c r="G15" s="24">
        <v>17.399999999999999</v>
      </c>
      <c r="H15" s="24">
        <v>18</v>
      </c>
      <c r="I15" s="24">
        <v>35.4</v>
      </c>
      <c r="J15" s="24">
        <v>31.2</v>
      </c>
      <c r="K15" s="24">
        <v>15.6</v>
      </c>
      <c r="L15" s="24">
        <v>9</v>
      </c>
      <c r="M15" s="24">
        <v>6</v>
      </c>
      <c r="N15" s="24">
        <v>4.4000000000000004</v>
      </c>
      <c r="O15" s="24">
        <v>3.6</v>
      </c>
      <c r="P15" s="24">
        <f>1+41.6</f>
        <v>42.6</v>
      </c>
    </row>
    <row r="16" spans="1:16" x14ac:dyDescent="0.25">
      <c r="A16" s="23" t="s">
        <v>145</v>
      </c>
      <c r="B16" s="24">
        <v>1571.6</v>
      </c>
      <c r="C16" s="24">
        <v>1441</v>
      </c>
      <c r="D16" s="24">
        <f t="shared" si="0"/>
        <v>130.59999999999991</v>
      </c>
      <c r="E16" s="24">
        <f t="shared" si="1"/>
        <v>8.310002545176884</v>
      </c>
      <c r="F16" s="24">
        <v>163.19999999999999</v>
      </c>
      <c r="G16" s="24">
        <v>2.4</v>
      </c>
      <c r="H16" s="24">
        <v>15.6</v>
      </c>
      <c r="I16" s="24">
        <v>39.6</v>
      </c>
      <c r="J16" s="24">
        <v>37</v>
      </c>
      <c r="K16" s="24">
        <v>23.4</v>
      </c>
      <c r="L16" s="24">
        <v>11.4</v>
      </c>
      <c r="M16" s="24">
        <v>5</v>
      </c>
      <c r="N16" s="24">
        <v>1.8</v>
      </c>
      <c r="O16" s="24">
        <v>0.2</v>
      </c>
      <c r="P16" s="24">
        <f>5.4+21.4</f>
        <v>26.799999999999997</v>
      </c>
    </row>
    <row r="17" spans="1:16" x14ac:dyDescent="0.25">
      <c r="A17" s="23" t="s">
        <v>137</v>
      </c>
      <c r="B17" s="24">
        <v>1423.6</v>
      </c>
      <c r="C17" s="24">
        <v>1350.6</v>
      </c>
      <c r="D17" s="24">
        <f t="shared" si="0"/>
        <v>73</v>
      </c>
      <c r="E17" s="24">
        <f t="shared" si="1"/>
        <v>5.1278449002528799</v>
      </c>
      <c r="F17" s="24">
        <v>155.19999999999999</v>
      </c>
      <c r="G17" s="24">
        <v>0</v>
      </c>
      <c r="H17" s="24">
        <v>0</v>
      </c>
      <c r="I17" s="24">
        <v>4</v>
      </c>
      <c r="J17" s="24">
        <v>37.200000000000003</v>
      </c>
      <c r="K17" s="24">
        <v>29.6</v>
      </c>
      <c r="L17" s="24">
        <v>19</v>
      </c>
      <c r="M17" s="24">
        <v>13</v>
      </c>
      <c r="N17" s="24">
        <v>11</v>
      </c>
      <c r="O17" s="24">
        <v>9.6</v>
      </c>
      <c r="P17" s="24">
        <f>7.4+24.4</f>
        <v>31.799999999999997</v>
      </c>
    </row>
    <row r="18" spans="1:16" x14ac:dyDescent="0.25">
      <c r="A18" s="23" t="s">
        <v>138</v>
      </c>
      <c r="B18" s="24">
        <v>1353.2</v>
      </c>
      <c r="C18" s="24">
        <v>1270</v>
      </c>
      <c r="D18" s="24">
        <f t="shared" si="0"/>
        <v>83.200000000000045</v>
      </c>
      <c r="E18" s="24">
        <f t="shared" si="1"/>
        <v>6.1483890038427464</v>
      </c>
      <c r="F18" s="24">
        <v>167</v>
      </c>
      <c r="G18" s="24">
        <v>0</v>
      </c>
      <c r="H18" s="24">
        <v>0</v>
      </c>
      <c r="I18" s="24">
        <v>5.2</v>
      </c>
      <c r="J18" s="24">
        <v>41.2</v>
      </c>
      <c r="K18" s="24">
        <v>35</v>
      </c>
      <c r="L18" s="24">
        <v>20.6</v>
      </c>
      <c r="M18" s="24">
        <v>12.8</v>
      </c>
      <c r="N18" s="24">
        <v>10.4</v>
      </c>
      <c r="O18" s="24">
        <v>9</v>
      </c>
      <c r="P18" s="24">
        <f>6+26.8</f>
        <v>32.799999999999997</v>
      </c>
    </row>
    <row r="19" spans="1:16" x14ac:dyDescent="0.25">
      <c r="A19" s="23" t="s">
        <v>165</v>
      </c>
      <c r="B19" s="24">
        <v>1773.4</v>
      </c>
      <c r="C19" s="24">
        <v>1672.4</v>
      </c>
      <c r="D19" s="24">
        <f t="shared" si="0"/>
        <v>101</v>
      </c>
      <c r="E19" s="24">
        <f t="shared" si="1"/>
        <v>5.6952746137363253</v>
      </c>
      <c r="F19" s="24">
        <v>188.39999999999998</v>
      </c>
      <c r="G19" s="24">
        <v>0</v>
      </c>
      <c r="H19" s="24">
        <v>16.2</v>
      </c>
      <c r="I19" s="24">
        <v>32.4</v>
      </c>
      <c r="J19" s="24">
        <v>29.8</v>
      </c>
      <c r="K19" s="24">
        <v>20.399999999999999</v>
      </c>
      <c r="L19" s="24">
        <v>15.4</v>
      </c>
      <c r="M19" s="24">
        <v>15.2</v>
      </c>
      <c r="N19" s="24">
        <v>18</v>
      </c>
      <c r="O19" s="24">
        <v>15.8</v>
      </c>
      <c r="P19" s="24">
        <f>13.8+11.4</f>
        <v>25.200000000000003</v>
      </c>
    </row>
    <row r="20" spans="1:16" x14ac:dyDescent="0.25">
      <c r="A20" s="23" t="s">
        <v>166</v>
      </c>
      <c r="B20" s="24">
        <v>2053.4</v>
      </c>
      <c r="C20" s="24">
        <v>1953.4</v>
      </c>
      <c r="D20" s="24">
        <f t="shared" si="0"/>
        <v>100</v>
      </c>
      <c r="E20" s="24">
        <f t="shared" si="1"/>
        <v>4.8699717541638261</v>
      </c>
      <c r="F20" s="24">
        <v>206.40000000000003</v>
      </c>
      <c r="G20" s="24">
        <v>2.8</v>
      </c>
      <c r="H20" s="24">
        <v>23.2</v>
      </c>
      <c r="I20" s="24">
        <v>45.4</v>
      </c>
      <c r="J20" s="24">
        <v>35.4</v>
      </c>
      <c r="K20" s="24">
        <v>21.8</v>
      </c>
      <c r="L20" s="24">
        <v>14</v>
      </c>
      <c r="M20" s="24">
        <v>11.8</v>
      </c>
      <c r="N20" s="24">
        <v>13.4</v>
      </c>
      <c r="O20" s="24">
        <v>13.4</v>
      </c>
      <c r="P20" s="24">
        <f>12.6+12.6</f>
        <v>25.2</v>
      </c>
    </row>
    <row r="21" spans="1:16" x14ac:dyDescent="0.25">
      <c r="A21" s="23" t="s">
        <v>147</v>
      </c>
      <c r="B21" s="24">
        <v>1516.2</v>
      </c>
      <c r="C21" s="24">
        <v>1480.8</v>
      </c>
      <c r="D21" s="24">
        <f t="shared" si="0"/>
        <v>35.400000000000091</v>
      </c>
      <c r="E21" s="24">
        <f t="shared" si="1"/>
        <v>2.3347843292441688</v>
      </c>
      <c r="F21" s="24">
        <v>185.79999999999998</v>
      </c>
      <c r="G21" s="24">
        <v>0</v>
      </c>
      <c r="H21" s="24">
        <v>0.4</v>
      </c>
      <c r="I21" s="24">
        <v>25.6</v>
      </c>
      <c r="J21" s="24">
        <v>48.2</v>
      </c>
      <c r="K21" s="24">
        <v>32.200000000000003</v>
      </c>
      <c r="L21" s="24">
        <v>21</v>
      </c>
      <c r="M21" s="24">
        <v>14.6</v>
      </c>
      <c r="N21" s="24">
        <v>12.4</v>
      </c>
      <c r="O21" s="24">
        <v>9.1999999999999993</v>
      </c>
      <c r="P21" s="24">
        <f>11.6+10.6</f>
        <v>22.2</v>
      </c>
    </row>
    <row r="22" spans="1:16" x14ac:dyDescent="0.25">
      <c r="A22" s="23" t="s">
        <v>148</v>
      </c>
      <c r="B22" s="24">
        <v>1499</v>
      </c>
      <c r="C22" s="24">
        <v>1429</v>
      </c>
      <c r="D22" s="24">
        <f t="shared" si="0"/>
        <v>70</v>
      </c>
      <c r="E22" s="24">
        <f t="shared" si="1"/>
        <v>4.6697798532354904</v>
      </c>
      <c r="F22" s="24">
        <v>190.00000000000003</v>
      </c>
      <c r="G22" s="24">
        <v>0</v>
      </c>
      <c r="H22" s="24">
        <v>1.8</v>
      </c>
      <c r="I22" s="24">
        <v>22.6</v>
      </c>
      <c r="J22" s="24">
        <v>45</v>
      </c>
      <c r="K22" s="24">
        <v>29</v>
      </c>
      <c r="L22" s="24">
        <v>22.4</v>
      </c>
      <c r="M22" s="24">
        <v>16.8</v>
      </c>
      <c r="N22" s="24">
        <v>14.6</v>
      </c>
      <c r="O22" s="24">
        <v>11</v>
      </c>
      <c r="P22" s="24">
        <f>7.8+19</f>
        <v>26.8</v>
      </c>
    </row>
    <row r="23" spans="1:16" x14ac:dyDescent="0.25">
      <c r="A23" s="23" t="s">
        <v>149</v>
      </c>
      <c r="B23" s="24">
        <v>1427.8</v>
      </c>
      <c r="C23" s="24">
        <v>1350.6</v>
      </c>
      <c r="D23" s="24">
        <f t="shared" si="0"/>
        <v>77.200000000000045</v>
      </c>
      <c r="E23" s="24">
        <f t="shared" si="1"/>
        <v>5.4069197366577981</v>
      </c>
      <c r="F23" s="24">
        <v>196.60000000000002</v>
      </c>
      <c r="G23" s="24">
        <v>0</v>
      </c>
      <c r="H23" s="24">
        <v>2.6</v>
      </c>
      <c r="I23" s="24">
        <v>28.2</v>
      </c>
      <c r="J23" s="24">
        <v>43.6</v>
      </c>
      <c r="K23" s="24">
        <v>31.2</v>
      </c>
      <c r="L23" s="24">
        <v>23.8</v>
      </c>
      <c r="M23" s="24">
        <v>17.399999999999999</v>
      </c>
      <c r="N23" s="24">
        <v>13.6</v>
      </c>
      <c r="O23" s="24">
        <v>9.4</v>
      </c>
      <c r="P23" s="24">
        <f>3.6+23.2</f>
        <v>26.8</v>
      </c>
    </row>
    <row r="24" spans="1:16" x14ac:dyDescent="0.25">
      <c r="A24" s="23" t="s">
        <v>123</v>
      </c>
      <c r="B24" s="24">
        <v>1482.4</v>
      </c>
      <c r="C24" s="24">
        <v>1411.4</v>
      </c>
      <c r="D24" s="24">
        <f t="shared" si="0"/>
        <v>71</v>
      </c>
      <c r="E24" s="24">
        <f t="shared" si="1"/>
        <v>4.7895304910955208</v>
      </c>
      <c r="F24" s="24">
        <v>207</v>
      </c>
      <c r="G24" s="24">
        <v>0</v>
      </c>
      <c r="H24" s="24">
        <v>0</v>
      </c>
      <c r="I24" s="24">
        <v>12.8</v>
      </c>
      <c r="J24" s="24">
        <v>50.8</v>
      </c>
      <c r="K24" s="24">
        <v>36</v>
      </c>
      <c r="L24" s="24">
        <v>25</v>
      </c>
      <c r="M24" s="24">
        <v>17.399999999999999</v>
      </c>
      <c r="N24" s="24">
        <v>12.4</v>
      </c>
      <c r="O24" s="24">
        <v>9.6</v>
      </c>
      <c r="P24" s="24">
        <f>13.6+29.4</f>
        <v>43</v>
      </c>
    </row>
    <row r="25" spans="1:16" x14ac:dyDescent="0.25">
      <c r="A25" s="23" t="s">
        <v>124</v>
      </c>
      <c r="B25" s="24">
        <v>1540</v>
      </c>
      <c r="C25" s="24">
        <v>1494.8</v>
      </c>
      <c r="D25" s="24">
        <f t="shared" si="0"/>
        <v>45.200000000000045</v>
      </c>
      <c r="E25" s="24">
        <f t="shared" si="1"/>
        <v>2.935064935064938</v>
      </c>
      <c r="F25" s="24">
        <v>189.79999999999998</v>
      </c>
      <c r="G25" s="24">
        <v>3</v>
      </c>
      <c r="H25" s="24">
        <v>2.8</v>
      </c>
      <c r="I25" s="24">
        <v>16.8</v>
      </c>
      <c r="J25" s="24">
        <v>59.6</v>
      </c>
      <c r="K25" s="24">
        <v>34.799999999999997</v>
      </c>
      <c r="L25" s="24">
        <v>18.2</v>
      </c>
      <c r="M25" s="24">
        <v>11.6</v>
      </c>
      <c r="N25" s="24">
        <v>8.4</v>
      </c>
      <c r="O25" s="24">
        <v>6</v>
      </c>
      <c r="P25" s="24">
        <f>14.4+14.2</f>
        <v>28.6</v>
      </c>
    </row>
    <row r="26" spans="1:16" x14ac:dyDescent="0.25">
      <c r="A26" s="23" t="s">
        <v>125</v>
      </c>
      <c r="B26" s="24">
        <v>1330.6</v>
      </c>
      <c r="C26" s="24">
        <v>1250.2</v>
      </c>
      <c r="D26" s="24">
        <f t="shared" si="0"/>
        <v>80.399999999999864</v>
      </c>
      <c r="E26" s="24">
        <f t="shared" si="1"/>
        <v>6.0423868931309084</v>
      </c>
      <c r="F26" s="24">
        <v>165.6</v>
      </c>
      <c r="G26" s="24">
        <v>0</v>
      </c>
      <c r="H26" s="24">
        <v>0</v>
      </c>
      <c r="I26" s="24">
        <v>6.8</v>
      </c>
      <c r="J26" s="24">
        <v>34.4</v>
      </c>
      <c r="K26" s="24">
        <v>32.799999999999997</v>
      </c>
      <c r="L26" s="24">
        <v>20.6</v>
      </c>
      <c r="M26" s="24">
        <v>13.2</v>
      </c>
      <c r="N26" s="24">
        <v>11</v>
      </c>
      <c r="O26" s="24">
        <v>9.1999999999999993</v>
      </c>
      <c r="P26" s="24">
        <f>4.6+33</f>
        <v>37.6</v>
      </c>
    </row>
    <row r="27" spans="1:16" x14ac:dyDescent="0.25">
      <c r="A27" s="23" t="s">
        <v>155</v>
      </c>
      <c r="B27" s="24">
        <v>1538.6</v>
      </c>
      <c r="C27" s="24">
        <v>1476.4</v>
      </c>
      <c r="D27" s="24">
        <f t="shared" si="0"/>
        <v>62.199999999999818</v>
      </c>
      <c r="E27" s="24">
        <f t="shared" si="1"/>
        <v>4.0426361627453415</v>
      </c>
      <c r="F27" s="24">
        <v>195.2</v>
      </c>
      <c r="G27" s="24">
        <v>0</v>
      </c>
      <c r="H27" s="24">
        <v>0</v>
      </c>
      <c r="I27" s="24">
        <v>20.8</v>
      </c>
      <c r="J27" s="24">
        <v>64.400000000000006</v>
      </c>
      <c r="K27" s="24">
        <v>33</v>
      </c>
      <c r="L27" s="24">
        <v>17.8</v>
      </c>
      <c r="M27" s="24">
        <v>11.8</v>
      </c>
      <c r="N27" s="24">
        <v>9.1999999999999993</v>
      </c>
      <c r="O27" s="24">
        <v>7</v>
      </c>
      <c r="P27" s="24">
        <f>7.2+24</f>
        <v>31.2</v>
      </c>
    </row>
    <row r="28" spans="1:16" x14ac:dyDescent="0.25">
      <c r="A28" s="23" t="s">
        <v>156</v>
      </c>
      <c r="B28" s="24">
        <v>1346</v>
      </c>
      <c r="C28" s="24">
        <v>1268</v>
      </c>
      <c r="D28" s="24">
        <f t="shared" si="0"/>
        <v>78</v>
      </c>
      <c r="E28" s="24">
        <f t="shared" si="1"/>
        <v>5.7949479940564634</v>
      </c>
      <c r="F28" s="24">
        <v>165.39999999999998</v>
      </c>
      <c r="G28" s="24">
        <v>0</v>
      </c>
      <c r="H28" s="24">
        <v>0</v>
      </c>
      <c r="I28" s="24">
        <v>9</v>
      </c>
      <c r="J28" s="24">
        <v>29.6</v>
      </c>
      <c r="K28" s="24">
        <v>24.2</v>
      </c>
      <c r="L28" s="24">
        <v>22.4</v>
      </c>
      <c r="M28" s="24">
        <v>21.6</v>
      </c>
      <c r="N28" s="24">
        <v>17</v>
      </c>
      <c r="O28" s="24">
        <v>12.4</v>
      </c>
      <c r="P28" s="24">
        <f>6.6+22.6</f>
        <v>29.200000000000003</v>
      </c>
    </row>
    <row r="29" spans="1:16" x14ac:dyDescent="0.25">
      <c r="A29" s="23" t="s">
        <v>152</v>
      </c>
      <c r="B29" s="24">
        <v>1571.4</v>
      </c>
      <c r="C29" s="24">
        <v>1495.4</v>
      </c>
      <c r="D29" s="24">
        <f t="shared" si="0"/>
        <v>76</v>
      </c>
      <c r="E29" s="24">
        <f t="shared" si="1"/>
        <v>4.8364515718467604</v>
      </c>
      <c r="F29" s="24">
        <v>185.39999999999998</v>
      </c>
      <c r="G29" s="24">
        <v>0</v>
      </c>
      <c r="H29" s="24">
        <v>0</v>
      </c>
      <c r="I29" s="24">
        <v>18.2</v>
      </c>
      <c r="J29" s="24">
        <v>55</v>
      </c>
      <c r="K29" s="24">
        <v>33</v>
      </c>
      <c r="L29" s="24">
        <v>17.399999999999999</v>
      </c>
      <c r="M29" s="24">
        <v>10.4</v>
      </c>
      <c r="N29" s="24">
        <v>7.2</v>
      </c>
      <c r="O29" s="24">
        <v>5.2</v>
      </c>
      <c r="P29" s="24">
        <f>16+23</f>
        <v>39</v>
      </c>
    </row>
    <row r="30" spans="1:16" x14ac:dyDescent="0.25">
      <c r="A30" s="23" t="s">
        <v>153</v>
      </c>
      <c r="B30" s="24">
        <v>1426.2</v>
      </c>
      <c r="C30" s="24">
        <v>1312.4</v>
      </c>
      <c r="D30" s="24">
        <f t="shared" si="0"/>
        <v>113.79999999999995</v>
      </c>
      <c r="E30" s="24">
        <f t="shared" si="1"/>
        <v>7.979245547609028</v>
      </c>
      <c r="F30" s="24">
        <v>184.8</v>
      </c>
      <c r="G30" s="24">
        <v>0</v>
      </c>
      <c r="H30" s="24">
        <v>0</v>
      </c>
      <c r="I30" s="24">
        <v>12.2</v>
      </c>
      <c r="J30" s="24">
        <v>50.4</v>
      </c>
      <c r="K30" s="24">
        <v>35.799999999999997</v>
      </c>
      <c r="L30" s="24">
        <v>21.4</v>
      </c>
      <c r="M30" s="24">
        <v>11.8</v>
      </c>
      <c r="N30" s="24">
        <v>6.2</v>
      </c>
      <c r="O30" s="24">
        <v>4.8</v>
      </c>
      <c r="P30" s="24">
        <f>2+40.2</f>
        <v>42.2</v>
      </c>
    </row>
    <row r="31" spans="1:16" x14ac:dyDescent="0.25">
      <c r="A31" s="23" t="s">
        <v>154</v>
      </c>
      <c r="B31" s="24">
        <v>1295.5999999999999</v>
      </c>
      <c r="C31" s="24">
        <v>1194.2</v>
      </c>
      <c r="D31" s="24">
        <f t="shared" si="0"/>
        <v>101.39999999999986</v>
      </c>
      <c r="E31" s="24">
        <f t="shared" si="1"/>
        <v>7.826489657301626</v>
      </c>
      <c r="F31" s="24">
        <v>158.6</v>
      </c>
      <c r="G31" s="24">
        <v>0</v>
      </c>
      <c r="H31" s="24">
        <v>0</v>
      </c>
      <c r="I31" s="24">
        <v>10.6</v>
      </c>
      <c r="J31" s="24">
        <v>46.4</v>
      </c>
      <c r="K31" s="24">
        <v>31.6</v>
      </c>
      <c r="L31" s="24">
        <v>16.8</v>
      </c>
      <c r="M31" s="24">
        <v>9</v>
      </c>
      <c r="N31" s="24">
        <v>5.2</v>
      </c>
      <c r="O31" s="24">
        <v>4</v>
      </c>
      <c r="P31" s="24">
        <f>0.8+34.2</f>
        <v>35</v>
      </c>
    </row>
    <row r="32" spans="1:16" x14ac:dyDescent="0.25">
      <c r="A32" s="23" t="s">
        <v>133</v>
      </c>
      <c r="B32" s="24">
        <v>1342.6</v>
      </c>
      <c r="C32" s="24">
        <v>1270.8</v>
      </c>
      <c r="D32" s="24">
        <f t="shared" si="0"/>
        <v>71.799999999999955</v>
      </c>
      <c r="E32" s="24">
        <f t="shared" si="1"/>
        <v>5.3478325636824042</v>
      </c>
      <c r="F32" s="24">
        <v>166</v>
      </c>
      <c r="G32" s="24">
        <v>0</v>
      </c>
      <c r="H32" s="24">
        <v>0</v>
      </c>
      <c r="I32" s="24">
        <v>21.4</v>
      </c>
      <c r="J32" s="24">
        <v>44.2</v>
      </c>
      <c r="K32" s="24">
        <v>30.8</v>
      </c>
      <c r="L32" s="24">
        <v>17.8</v>
      </c>
      <c r="M32" s="24">
        <v>11</v>
      </c>
      <c r="N32" s="24">
        <v>6.8</v>
      </c>
      <c r="O32" s="24">
        <v>5.2</v>
      </c>
      <c r="P32" s="24">
        <f>1.2+27.6</f>
        <v>28.8</v>
      </c>
    </row>
    <row r="33" spans="1:16" x14ac:dyDescent="0.25">
      <c r="A33" s="23" t="s">
        <v>134</v>
      </c>
      <c r="B33" s="24">
        <v>1484.6</v>
      </c>
      <c r="C33" s="24">
        <v>1420.2</v>
      </c>
      <c r="D33" s="24">
        <f t="shared" si="0"/>
        <v>64.399999999999864</v>
      </c>
      <c r="E33" s="24">
        <f t="shared" si="1"/>
        <v>4.3378687862050294</v>
      </c>
      <c r="F33" s="24">
        <v>173.20000000000002</v>
      </c>
      <c r="G33" s="24">
        <v>0</v>
      </c>
      <c r="H33" s="24">
        <v>0</v>
      </c>
      <c r="I33" s="24">
        <v>9.4</v>
      </c>
      <c r="J33" s="24">
        <v>31.2</v>
      </c>
      <c r="K33" s="24">
        <v>36.799999999999997</v>
      </c>
      <c r="L33" s="24">
        <v>31.2</v>
      </c>
      <c r="M33" s="24">
        <v>20</v>
      </c>
      <c r="N33" s="24">
        <v>12</v>
      </c>
      <c r="O33" s="24">
        <v>7.2</v>
      </c>
      <c r="P33" s="24">
        <f>4.6+20.8</f>
        <v>25.4</v>
      </c>
    </row>
    <row r="34" spans="1:16" x14ac:dyDescent="0.25">
      <c r="A34" s="23" t="s">
        <v>131</v>
      </c>
      <c r="B34" s="24">
        <v>1544.8</v>
      </c>
      <c r="C34" s="24">
        <v>1491.2</v>
      </c>
      <c r="D34" s="24">
        <f t="shared" si="0"/>
        <v>53.599999999999909</v>
      </c>
      <c r="E34" s="24">
        <f t="shared" si="1"/>
        <v>3.4697048161574253</v>
      </c>
      <c r="F34" s="24">
        <v>181.39999999999998</v>
      </c>
      <c r="G34" s="24">
        <v>0</v>
      </c>
      <c r="H34" s="24">
        <v>1.6</v>
      </c>
      <c r="I34" s="24">
        <v>23.4</v>
      </c>
      <c r="J34" s="24">
        <v>42.6</v>
      </c>
      <c r="K34" s="24">
        <v>30</v>
      </c>
      <c r="L34" s="24">
        <v>18.600000000000001</v>
      </c>
      <c r="M34" s="24">
        <v>12</v>
      </c>
      <c r="N34" s="24">
        <v>10</v>
      </c>
      <c r="O34" s="24">
        <v>8.4</v>
      </c>
      <c r="P34" s="24">
        <f>10.8+24</f>
        <v>34.799999999999997</v>
      </c>
    </row>
    <row r="35" spans="1:16" x14ac:dyDescent="0.25">
      <c r="A35" s="23" t="s">
        <v>132</v>
      </c>
      <c r="B35" s="24">
        <v>1342.6</v>
      </c>
      <c r="C35" s="24">
        <v>1268.2</v>
      </c>
      <c r="D35" s="24">
        <f t="shared" si="0"/>
        <v>74.399999999999864</v>
      </c>
      <c r="E35" s="24">
        <f t="shared" si="1"/>
        <v>5.5414866676597549</v>
      </c>
      <c r="F35" s="24">
        <v>170.39999999999998</v>
      </c>
      <c r="G35" s="24">
        <v>0</v>
      </c>
      <c r="H35" s="24">
        <v>0</v>
      </c>
      <c r="I35" s="24">
        <v>14.4</v>
      </c>
      <c r="J35" s="24">
        <v>35.799999999999997</v>
      </c>
      <c r="K35" s="24">
        <v>29.4</v>
      </c>
      <c r="L35" s="24">
        <v>18.600000000000001</v>
      </c>
      <c r="M35" s="24">
        <v>12.2</v>
      </c>
      <c r="N35" s="24">
        <v>9.1999999999999993</v>
      </c>
      <c r="O35" s="24">
        <v>7.6</v>
      </c>
      <c r="P35" s="24">
        <f>3.2+40</f>
        <v>43.2</v>
      </c>
    </row>
    <row r="36" spans="1:16" x14ac:dyDescent="0.25">
      <c r="A36" s="23" t="s">
        <v>135</v>
      </c>
      <c r="B36" s="24">
        <v>1360.4</v>
      </c>
      <c r="C36" s="24">
        <v>1297.8</v>
      </c>
      <c r="D36" s="24">
        <f t="shared" si="0"/>
        <v>62.600000000000136</v>
      </c>
      <c r="E36" s="24">
        <f t="shared" si="1"/>
        <v>4.6015877683034496</v>
      </c>
      <c r="F36" s="24">
        <v>161.6</v>
      </c>
      <c r="G36" s="24">
        <v>0</v>
      </c>
      <c r="H36" s="24">
        <v>0</v>
      </c>
      <c r="I36" s="24">
        <v>4.2</v>
      </c>
      <c r="J36" s="24">
        <v>23</v>
      </c>
      <c r="K36" s="24">
        <v>27.6</v>
      </c>
      <c r="L36" s="24">
        <v>22.2</v>
      </c>
      <c r="M36" s="24">
        <v>19.399999999999999</v>
      </c>
      <c r="N36" s="24">
        <v>19</v>
      </c>
      <c r="O36" s="24">
        <v>14.2</v>
      </c>
      <c r="P36" s="24">
        <f>3+29</f>
        <v>32</v>
      </c>
    </row>
    <row r="37" spans="1:16" x14ac:dyDescent="0.25">
      <c r="A37" s="23" t="s">
        <v>136</v>
      </c>
      <c r="B37" s="24">
        <v>1328.8</v>
      </c>
      <c r="C37" s="24">
        <v>1227.2</v>
      </c>
      <c r="D37" s="24">
        <f t="shared" si="0"/>
        <v>101.59999999999991</v>
      </c>
      <c r="E37" s="24">
        <f t="shared" si="1"/>
        <v>7.6459963877182364</v>
      </c>
      <c r="F37" s="24">
        <v>179.20000000000002</v>
      </c>
      <c r="G37" s="24">
        <v>0</v>
      </c>
      <c r="H37" s="24">
        <v>3.6</v>
      </c>
      <c r="I37" s="24">
        <v>18.600000000000001</v>
      </c>
      <c r="J37" s="24">
        <v>30</v>
      </c>
      <c r="K37" s="24">
        <v>27</v>
      </c>
      <c r="L37" s="24">
        <v>19.2</v>
      </c>
      <c r="M37" s="24">
        <v>14.4</v>
      </c>
      <c r="N37" s="24">
        <v>12.6</v>
      </c>
      <c r="O37" s="24">
        <v>9.8000000000000007</v>
      </c>
      <c r="P37" s="24">
        <f>1.2+42.8</f>
        <v>44</v>
      </c>
    </row>
    <row r="38" spans="1:16" x14ac:dyDescent="0.25">
      <c r="A38" s="23" t="s">
        <v>141</v>
      </c>
      <c r="B38" s="24">
        <v>1351.8</v>
      </c>
      <c r="C38" s="24">
        <v>1258.8</v>
      </c>
      <c r="D38" s="24">
        <f t="shared" si="0"/>
        <v>93</v>
      </c>
      <c r="E38" s="24">
        <f t="shared" si="1"/>
        <v>6.8797159343098091</v>
      </c>
      <c r="F38" s="24">
        <v>179.8</v>
      </c>
      <c r="G38" s="24">
        <v>0</v>
      </c>
      <c r="H38" s="24">
        <v>0</v>
      </c>
      <c r="I38" s="24">
        <v>9.6</v>
      </c>
      <c r="J38" s="24">
        <v>41</v>
      </c>
      <c r="K38" s="24">
        <v>36.6</v>
      </c>
      <c r="L38" s="24">
        <v>23.6</v>
      </c>
      <c r="M38" s="24">
        <v>15.6</v>
      </c>
      <c r="N38" s="24">
        <v>12.2</v>
      </c>
      <c r="O38" s="24">
        <v>9.4</v>
      </c>
      <c r="P38" s="24">
        <f>1.6+30.2</f>
        <v>31.8</v>
      </c>
    </row>
    <row r="39" spans="1:16" x14ac:dyDescent="0.25">
      <c r="A39" s="23" t="s">
        <v>106</v>
      </c>
      <c r="B39" s="24">
        <v>1547.4</v>
      </c>
      <c r="C39" s="24">
        <v>1488.6</v>
      </c>
      <c r="D39" s="24">
        <f t="shared" si="0"/>
        <v>58.800000000000182</v>
      </c>
      <c r="E39" s="24">
        <f t="shared" si="1"/>
        <v>3.7999224505622453</v>
      </c>
      <c r="F39" s="24">
        <v>183.40000000000003</v>
      </c>
      <c r="G39" s="24">
        <v>0</v>
      </c>
      <c r="H39" s="24">
        <v>0</v>
      </c>
      <c r="I39" s="24">
        <v>2.6</v>
      </c>
      <c r="J39" s="24">
        <v>38.6</v>
      </c>
      <c r="K39" s="24">
        <v>38</v>
      </c>
      <c r="L39" s="24">
        <v>25</v>
      </c>
      <c r="M39" s="24">
        <v>16.600000000000001</v>
      </c>
      <c r="N39" s="24">
        <v>13.4</v>
      </c>
      <c r="O39" s="24">
        <v>9.4</v>
      </c>
      <c r="P39" s="24">
        <f>10+29.8</f>
        <v>39.799999999999997</v>
      </c>
    </row>
    <row r="40" spans="1:16" x14ac:dyDescent="0.25">
      <c r="A40" s="23" t="s">
        <v>107</v>
      </c>
      <c r="B40" s="24">
        <v>1536</v>
      </c>
      <c r="C40" s="24">
        <v>1486.2</v>
      </c>
      <c r="D40" s="24">
        <f t="shared" si="0"/>
        <v>49.799999999999955</v>
      </c>
      <c r="E40" s="24">
        <f t="shared" si="1"/>
        <v>3.2421874999999969</v>
      </c>
      <c r="F40" s="24">
        <v>190.60000000000002</v>
      </c>
      <c r="G40" s="24">
        <v>0</v>
      </c>
      <c r="H40" s="24">
        <v>0</v>
      </c>
      <c r="I40" s="24">
        <v>1</v>
      </c>
      <c r="J40" s="24">
        <v>41</v>
      </c>
      <c r="K40" s="24">
        <v>40.799999999999997</v>
      </c>
      <c r="L40" s="24">
        <v>28.6</v>
      </c>
      <c r="M40" s="24">
        <v>18.8</v>
      </c>
      <c r="N40" s="24">
        <v>13.4</v>
      </c>
      <c r="O40" s="24">
        <v>10.4</v>
      </c>
      <c r="P40" s="24">
        <f>12.6+24</f>
        <v>36.6</v>
      </c>
    </row>
    <row r="41" spans="1:16" x14ac:dyDescent="0.25">
      <c r="A41" s="23" t="s">
        <v>109</v>
      </c>
      <c r="B41" s="24">
        <v>1298.5999999999999</v>
      </c>
      <c r="C41" s="24">
        <v>1220</v>
      </c>
      <c r="D41" s="24">
        <f t="shared" si="0"/>
        <v>78.599999999999909</v>
      </c>
      <c r="E41" s="24">
        <f t="shared" si="1"/>
        <v>6.052672108424451</v>
      </c>
      <c r="F41" s="24">
        <v>177.8</v>
      </c>
      <c r="G41" s="24">
        <v>0</v>
      </c>
      <c r="H41" s="24">
        <v>0</v>
      </c>
      <c r="I41" s="24">
        <v>5.2</v>
      </c>
      <c r="J41" s="24">
        <v>42.4</v>
      </c>
      <c r="K41" s="24">
        <v>36.4</v>
      </c>
      <c r="L41" s="24">
        <v>24.2</v>
      </c>
      <c r="M41" s="24">
        <v>15.8</v>
      </c>
      <c r="N41" s="24">
        <v>12.4</v>
      </c>
      <c r="O41" s="24">
        <v>10.4</v>
      </c>
      <c r="P41" s="24">
        <f>3.2+27.8</f>
        <v>31</v>
      </c>
    </row>
    <row r="42" spans="1:16" x14ac:dyDescent="0.25">
      <c r="A42" s="23" t="s">
        <v>110</v>
      </c>
      <c r="B42" s="24">
        <v>1577.4</v>
      </c>
      <c r="C42" s="24">
        <v>1543.6</v>
      </c>
      <c r="D42" s="24">
        <f t="shared" si="0"/>
        <v>33.800000000000182</v>
      </c>
      <c r="E42" s="24">
        <f t="shared" si="1"/>
        <v>2.1427665779130329</v>
      </c>
      <c r="F42" s="24">
        <v>175.8</v>
      </c>
      <c r="G42" s="24">
        <v>0</v>
      </c>
      <c r="H42" s="24">
        <v>0</v>
      </c>
      <c r="I42" s="24">
        <v>31.6</v>
      </c>
      <c r="J42" s="24">
        <v>60.8</v>
      </c>
      <c r="K42" s="24">
        <v>30.4</v>
      </c>
      <c r="L42" s="24">
        <v>14.4</v>
      </c>
      <c r="M42" s="24">
        <v>7.6</v>
      </c>
      <c r="N42" s="24">
        <v>5</v>
      </c>
      <c r="O42" s="24">
        <v>4.4000000000000004</v>
      </c>
      <c r="P42" s="24">
        <f>6.2+15.4</f>
        <v>21.6</v>
      </c>
    </row>
    <row r="43" spans="1:16" x14ac:dyDescent="0.25">
      <c r="A43" s="23" t="s">
        <v>111</v>
      </c>
      <c r="B43" s="24">
        <v>1613.2</v>
      </c>
      <c r="C43" s="24">
        <v>1573.6</v>
      </c>
      <c r="D43" s="24">
        <f t="shared" si="0"/>
        <v>39.600000000000136</v>
      </c>
      <c r="E43" s="24">
        <f t="shared" si="1"/>
        <v>2.4547483263079677</v>
      </c>
      <c r="F43" s="24">
        <v>183.20000000000005</v>
      </c>
      <c r="G43" s="24">
        <v>0</v>
      </c>
      <c r="H43" s="24">
        <v>0</v>
      </c>
      <c r="I43" s="24">
        <v>21</v>
      </c>
      <c r="J43" s="24">
        <v>52.6</v>
      </c>
      <c r="K43" s="24">
        <v>36.200000000000003</v>
      </c>
      <c r="L43" s="24">
        <v>19</v>
      </c>
      <c r="M43" s="24">
        <v>10.8</v>
      </c>
      <c r="N43" s="24">
        <v>8</v>
      </c>
      <c r="O43" s="24">
        <v>6.8</v>
      </c>
      <c r="P43" s="24">
        <f>11+17.8</f>
        <v>28.8</v>
      </c>
    </row>
    <row r="44" spans="1:16" x14ac:dyDescent="0.25">
      <c r="A44" s="23" t="s">
        <v>112</v>
      </c>
      <c r="B44" s="24">
        <v>1624.8</v>
      </c>
      <c r="C44" s="24">
        <v>1570.6</v>
      </c>
      <c r="D44" s="24">
        <f t="shared" si="0"/>
        <v>54.200000000000045</v>
      </c>
      <c r="E44" s="24">
        <f t="shared" si="1"/>
        <v>3.3357951747907464</v>
      </c>
      <c r="F44" s="24">
        <v>172.8</v>
      </c>
      <c r="G44" s="24">
        <v>0</v>
      </c>
      <c r="H44" s="24">
        <v>0</v>
      </c>
      <c r="I44" s="24">
        <v>19</v>
      </c>
      <c r="J44" s="24">
        <v>42</v>
      </c>
      <c r="K44" s="24">
        <v>32.4</v>
      </c>
      <c r="L44" s="24">
        <v>22.6</v>
      </c>
      <c r="M44" s="24">
        <v>14.6</v>
      </c>
      <c r="N44" s="24">
        <v>10.4</v>
      </c>
      <c r="O44" s="24">
        <v>7</v>
      </c>
      <c r="P44" s="24">
        <f>6.4+18.4</f>
        <v>24.799999999999997</v>
      </c>
    </row>
    <row r="45" spans="1:16" x14ac:dyDescent="0.25">
      <c r="A45" s="23" t="s">
        <v>162</v>
      </c>
      <c r="B45" s="24">
        <v>1379.6</v>
      </c>
      <c r="C45" s="24">
        <v>1281.2</v>
      </c>
      <c r="D45" s="24">
        <f t="shared" si="0"/>
        <v>98.399999999999864</v>
      </c>
      <c r="E45" s="24">
        <f t="shared" si="1"/>
        <v>7.1325021745433368</v>
      </c>
      <c r="F45" s="24">
        <v>187.6</v>
      </c>
      <c r="G45" s="24">
        <v>2.4</v>
      </c>
      <c r="H45" s="24">
        <v>11.4</v>
      </c>
      <c r="I45" s="24">
        <v>40.799999999999997</v>
      </c>
      <c r="J45" s="24">
        <v>37.799999999999997</v>
      </c>
      <c r="K45" s="24">
        <v>16.8</v>
      </c>
      <c r="L45" s="24">
        <v>9</v>
      </c>
      <c r="M45" s="24">
        <v>7.4</v>
      </c>
      <c r="N45" s="24">
        <v>8.4</v>
      </c>
      <c r="O45" s="24">
        <v>11.6</v>
      </c>
      <c r="P45" s="24">
        <f>3.4+38.6</f>
        <v>42</v>
      </c>
    </row>
    <row r="46" spans="1:16" x14ac:dyDescent="0.25">
      <c r="A46" s="23" t="s">
        <v>163</v>
      </c>
      <c r="B46" s="24">
        <v>1464.4</v>
      </c>
      <c r="C46" s="24">
        <v>1368</v>
      </c>
      <c r="D46" s="24">
        <f t="shared" si="0"/>
        <v>96.400000000000091</v>
      </c>
      <c r="E46" s="24">
        <f t="shared" si="1"/>
        <v>6.5829008467631862</v>
      </c>
      <c r="F46" s="24">
        <v>169.8</v>
      </c>
      <c r="G46" s="24">
        <v>0</v>
      </c>
      <c r="H46" s="24">
        <v>5.2</v>
      </c>
      <c r="I46" s="24">
        <v>21.4</v>
      </c>
      <c r="J46" s="24">
        <v>32</v>
      </c>
      <c r="K46" s="24">
        <v>27.4</v>
      </c>
      <c r="L46" s="24">
        <v>16.399999999999999</v>
      </c>
      <c r="M46" s="24">
        <v>9.8000000000000007</v>
      </c>
      <c r="N46" s="24">
        <v>8.1999999999999993</v>
      </c>
      <c r="O46" s="24">
        <v>9.8000000000000007</v>
      </c>
      <c r="P46" s="24">
        <f>3.4+36.2</f>
        <v>39.6</v>
      </c>
    </row>
    <row r="47" spans="1:16" x14ac:dyDescent="0.25">
      <c r="A47" s="23" t="s">
        <v>164</v>
      </c>
      <c r="B47" s="24">
        <v>1376.2</v>
      </c>
      <c r="C47" s="24">
        <v>1287.5999999999999</v>
      </c>
      <c r="D47" s="24">
        <f t="shared" si="0"/>
        <v>88.600000000000136</v>
      </c>
      <c r="E47" s="24">
        <f t="shared" si="1"/>
        <v>6.4380177299811177</v>
      </c>
      <c r="F47" s="24">
        <v>167.20000000000002</v>
      </c>
      <c r="G47" s="24">
        <v>0</v>
      </c>
      <c r="H47" s="24">
        <v>3.2</v>
      </c>
      <c r="I47" s="24">
        <v>20.6</v>
      </c>
      <c r="J47" s="24">
        <v>39.6</v>
      </c>
      <c r="K47" s="24">
        <v>27.4</v>
      </c>
      <c r="L47" s="24">
        <v>17</v>
      </c>
      <c r="M47" s="24">
        <v>10.199999999999999</v>
      </c>
      <c r="N47" s="24">
        <v>9.4</v>
      </c>
      <c r="O47" s="24">
        <v>10.8</v>
      </c>
      <c r="P47" s="24">
        <f>4.2+24.8</f>
        <v>29</v>
      </c>
    </row>
    <row r="48" spans="1:16" x14ac:dyDescent="0.25">
      <c r="A48" s="23" t="s">
        <v>113</v>
      </c>
      <c r="B48" s="24">
        <v>1444.6</v>
      </c>
      <c r="C48" s="24">
        <v>1400.4</v>
      </c>
      <c r="D48" s="24">
        <f t="shared" si="0"/>
        <v>44.199999999999818</v>
      </c>
      <c r="E48" s="24">
        <f t="shared" si="1"/>
        <v>3.0596704970233852</v>
      </c>
      <c r="F48" s="24">
        <v>182.8</v>
      </c>
      <c r="G48" s="24">
        <v>1.4</v>
      </c>
      <c r="H48" s="24">
        <v>1.2</v>
      </c>
      <c r="I48" s="24">
        <v>11.2</v>
      </c>
      <c r="J48" s="24">
        <v>42.8</v>
      </c>
      <c r="K48" s="24">
        <v>35.200000000000003</v>
      </c>
      <c r="L48" s="24">
        <v>19.399999999999999</v>
      </c>
      <c r="M48" s="24">
        <v>12.2</v>
      </c>
      <c r="N48" s="24">
        <v>10.6</v>
      </c>
      <c r="O48" s="24">
        <v>10.4</v>
      </c>
      <c r="P48" s="24">
        <f>4.8+33.6</f>
        <v>38.4</v>
      </c>
    </row>
    <row r="49" spans="1:16" x14ac:dyDescent="0.25">
      <c r="A49" s="23" t="s">
        <v>114</v>
      </c>
      <c r="B49" s="24">
        <v>1518.6</v>
      </c>
      <c r="C49" s="24">
        <v>1461.6</v>
      </c>
      <c r="D49" s="24">
        <f t="shared" si="0"/>
        <v>57</v>
      </c>
      <c r="E49" s="24">
        <f t="shared" si="1"/>
        <v>3.7534571315685503</v>
      </c>
      <c r="F49" s="24">
        <v>173.39999999999998</v>
      </c>
      <c r="G49" s="24">
        <v>0</v>
      </c>
      <c r="H49" s="24">
        <v>0</v>
      </c>
      <c r="I49" s="24">
        <v>9.8000000000000007</v>
      </c>
      <c r="J49" s="24">
        <v>40.4</v>
      </c>
      <c r="K49" s="24">
        <v>34.799999999999997</v>
      </c>
      <c r="L49" s="24">
        <v>20.399999999999999</v>
      </c>
      <c r="M49" s="24">
        <v>12</v>
      </c>
      <c r="N49" s="24">
        <v>9.8000000000000007</v>
      </c>
      <c r="O49" s="24">
        <v>9</v>
      </c>
      <c r="P49" s="24">
        <f>3.2+34</f>
        <v>37.200000000000003</v>
      </c>
    </row>
    <row r="50" spans="1:16" x14ac:dyDescent="0.25">
      <c r="A50" s="23" t="s">
        <v>118</v>
      </c>
      <c r="B50" s="24">
        <v>1436.4</v>
      </c>
      <c r="C50" s="24">
        <v>1387.4</v>
      </c>
      <c r="D50" s="24">
        <f t="shared" si="0"/>
        <v>49</v>
      </c>
      <c r="E50" s="24">
        <f t="shared" si="1"/>
        <v>3.41130604288499</v>
      </c>
      <c r="F50" s="24">
        <v>170.2</v>
      </c>
      <c r="G50" s="24">
        <v>0</v>
      </c>
      <c r="H50" s="24">
        <v>0</v>
      </c>
      <c r="I50" s="24">
        <v>0</v>
      </c>
      <c r="J50" s="24">
        <v>46.4</v>
      </c>
      <c r="K50" s="24">
        <v>36.799999999999997</v>
      </c>
      <c r="L50" s="24">
        <v>22.4</v>
      </c>
      <c r="M50" s="24">
        <v>14.4</v>
      </c>
      <c r="N50" s="24">
        <v>10.4</v>
      </c>
      <c r="O50" s="24">
        <v>7.2</v>
      </c>
      <c r="P50" s="24">
        <f>10.2+22.4</f>
        <v>32.599999999999994</v>
      </c>
    </row>
    <row r="51" spans="1:16" x14ac:dyDescent="0.25">
      <c r="A51" s="23" t="s">
        <v>119</v>
      </c>
      <c r="B51" s="24">
        <v>1482.2</v>
      </c>
      <c r="C51" s="24">
        <v>1435.6</v>
      </c>
      <c r="D51" s="24">
        <f t="shared" si="0"/>
        <v>46.600000000000136</v>
      </c>
      <c r="E51" s="24">
        <f t="shared" si="1"/>
        <v>3.1439751720415687</v>
      </c>
      <c r="F51" s="24">
        <v>176</v>
      </c>
      <c r="G51" s="24">
        <v>0</v>
      </c>
      <c r="H51" s="24">
        <v>0</v>
      </c>
      <c r="I51" s="24">
        <v>0</v>
      </c>
      <c r="J51" s="24">
        <v>41.8</v>
      </c>
      <c r="K51" s="24">
        <v>37.200000000000003</v>
      </c>
      <c r="L51" s="24">
        <v>25</v>
      </c>
      <c r="M51" s="24">
        <v>17</v>
      </c>
      <c r="N51" s="24">
        <v>12.8</v>
      </c>
      <c r="O51" s="24">
        <v>9.1999999999999993</v>
      </c>
      <c r="P51" s="24">
        <f>15+18</f>
        <v>33</v>
      </c>
    </row>
    <row r="52" spans="1:16" x14ac:dyDescent="0.25">
      <c r="A52" s="23" t="s">
        <v>120</v>
      </c>
      <c r="B52" s="24">
        <v>1448.2</v>
      </c>
      <c r="C52" s="24">
        <v>1363.2</v>
      </c>
      <c r="D52" s="24">
        <f t="shared" si="0"/>
        <v>85</v>
      </c>
      <c r="E52" s="24">
        <f t="shared" si="1"/>
        <v>5.8693550614556003</v>
      </c>
      <c r="F52" s="24">
        <v>174.4</v>
      </c>
      <c r="G52" s="24">
        <v>0</v>
      </c>
      <c r="H52" s="24">
        <v>0</v>
      </c>
      <c r="I52" s="24">
        <v>6.6</v>
      </c>
      <c r="J52" s="24">
        <v>46.6</v>
      </c>
      <c r="K52" s="24">
        <v>39.4</v>
      </c>
      <c r="L52" s="24">
        <v>21.8</v>
      </c>
      <c r="M52" s="24">
        <v>13.4</v>
      </c>
      <c r="N52" s="24">
        <v>10.6</v>
      </c>
      <c r="O52" s="24">
        <v>8</v>
      </c>
      <c r="P52" s="24">
        <f>1.4+26.6</f>
        <v>28</v>
      </c>
    </row>
    <row r="53" spans="1:16" x14ac:dyDescent="0.25">
      <c r="A53" s="23" t="s">
        <v>157</v>
      </c>
      <c r="B53" s="24">
        <v>1356.2</v>
      </c>
      <c r="C53" s="24">
        <v>1280.5999999999999</v>
      </c>
      <c r="D53" s="24">
        <f t="shared" si="0"/>
        <v>75.600000000000136</v>
      </c>
      <c r="E53" s="24">
        <f t="shared" si="1"/>
        <v>5.5743990561864134</v>
      </c>
      <c r="F53" s="24">
        <v>179.7</v>
      </c>
      <c r="G53" s="24">
        <v>0</v>
      </c>
      <c r="H53" s="24">
        <v>0</v>
      </c>
      <c r="I53" s="24">
        <v>6</v>
      </c>
      <c r="J53" s="24">
        <v>38</v>
      </c>
      <c r="K53" s="24">
        <v>31.6</v>
      </c>
      <c r="L53" s="24">
        <v>23.9</v>
      </c>
      <c r="M53" s="24">
        <v>18.600000000000001</v>
      </c>
      <c r="N53" s="24">
        <v>17.2</v>
      </c>
      <c r="O53" s="24">
        <v>12.4</v>
      </c>
      <c r="P53" s="24">
        <f>4.4+27.6</f>
        <v>32</v>
      </c>
    </row>
    <row r="54" spans="1:16" x14ac:dyDescent="0.25">
      <c r="A54" s="23" t="s">
        <v>158</v>
      </c>
      <c r="B54" s="24">
        <v>1417.6</v>
      </c>
      <c r="C54" s="24">
        <v>1331.4</v>
      </c>
      <c r="D54" s="24">
        <f t="shared" si="0"/>
        <v>86.199999999999818</v>
      </c>
      <c r="E54" s="24">
        <f t="shared" si="1"/>
        <v>6.0806997742663533</v>
      </c>
      <c r="F54" s="24">
        <v>165.60000000000002</v>
      </c>
      <c r="G54" s="24">
        <v>0</v>
      </c>
      <c r="H54" s="24">
        <v>0</v>
      </c>
      <c r="I54" s="24">
        <v>10.8</v>
      </c>
      <c r="J54" s="24">
        <v>46.8</v>
      </c>
      <c r="K54" s="24">
        <v>25.4</v>
      </c>
      <c r="L54" s="24">
        <v>15.2</v>
      </c>
      <c r="M54" s="24">
        <v>12.4</v>
      </c>
      <c r="N54" s="24">
        <v>11.8</v>
      </c>
      <c r="O54" s="24">
        <v>11.4</v>
      </c>
      <c r="P54" s="24">
        <f>7.4+24.4</f>
        <v>31.799999999999997</v>
      </c>
    </row>
    <row r="55" spans="1:16" x14ac:dyDescent="0.25">
      <c r="A55" s="23" t="s">
        <v>126</v>
      </c>
      <c r="B55" s="24">
        <v>1555.6</v>
      </c>
      <c r="C55" s="24">
        <v>1508.4</v>
      </c>
      <c r="D55" s="24">
        <f t="shared" si="0"/>
        <v>47.199999999999818</v>
      </c>
      <c r="E55" s="24">
        <f t="shared" si="1"/>
        <v>3.0341990228850491</v>
      </c>
      <c r="F55" s="24">
        <v>185.6</v>
      </c>
      <c r="G55" s="24">
        <v>0</v>
      </c>
      <c r="H55" s="24">
        <v>0</v>
      </c>
      <c r="I55" s="24">
        <v>5.6</v>
      </c>
      <c r="J55" s="24">
        <v>40.200000000000003</v>
      </c>
      <c r="K55" s="24">
        <v>37</v>
      </c>
      <c r="L55" s="24">
        <v>24</v>
      </c>
      <c r="M55" s="24">
        <v>16.2</v>
      </c>
      <c r="N55" s="24">
        <v>14</v>
      </c>
      <c r="O55" s="24">
        <v>11.6</v>
      </c>
      <c r="P55" s="24">
        <f>21+16</f>
        <v>37</v>
      </c>
    </row>
    <row r="56" spans="1:16" x14ac:dyDescent="0.25">
      <c r="A56" s="23" t="s">
        <v>127</v>
      </c>
      <c r="B56" s="24">
        <v>1518.2</v>
      </c>
      <c r="C56" s="24">
        <v>1454</v>
      </c>
      <c r="D56" s="24">
        <f t="shared" si="0"/>
        <v>64.200000000000045</v>
      </c>
      <c r="E56" s="24">
        <f t="shared" si="1"/>
        <v>4.2286918719536315</v>
      </c>
      <c r="F56" s="24">
        <v>174.39999999999998</v>
      </c>
      <c r="G56" s="24">
        <v>0</v>
      </c>
      <c r="H56" s="24">
        <v>0</v>
      </c>
      <c r="I56" s="24">
        <v>5.8</v>
      </c>
      <c r="J56" s="24">
        <v>48</v>
      </c>
      <c r="K56" s="24">
        <v>36.4</v>
      </c>
      <c r="L56" s="24">
        <v>20.8</v>
      </c>
      <c r="M56" s="24">
        <v>13</v>
      </c>
      <c r="N56" s="24">
        <v>10.8</v>
      </c>
      <c r="O56" s="24">
        <v>8.6</v>
      </c>
      <c r="P56" s="24">
        <f>4.2+26.8</f>
        <v>31</v>
      </c>
    </row>
    <row r="57" spans="1:16" x14ac:dyDescent="0.25">
      <c r="A57" s="23" t="s">
        <v>128</v>
      </c>
      <c r="B57" s="24">
        <v>1339.4</v>
      </c>
      <c r="C57" s="24">
        <v>1259.4000000000001</v>
      </c>
      <c r="D57" s="24">
        <f t="shared" si="0"/>
        <v>80</v>
      </c>
      <c r="E57" s="24">
        <f t="shared" si="1"/>
        <v>5.9728236523816634</v>
      </c>
      <c r="F57" s="24">
        <v>178.79999999999998</v>
      </c>
      <c r="G57" s="24">
        <v>0</v>
      </c>
      <c r="H57" s="24">
        <v>0</v>
      </c>
      <c r="I57" s="24">
        <v>0.4</v>
      </c>
      <c r="J57" s="24">
        <v>25.6</v>
      </c>
      <c r="K57" s="24">
        <v>40.6</v>
      </c>
      <c r="L57" s="24">
        <v>28</v>
      </c>
      <c r="M57" s="24">
        <v>15.8</v>
      </c>
      <c r="N57" s="24">
        <v>13.8</v>
      </c>
      <c r="O57" s="24">
        <v>12.2</v>
      </c>
      <c r="P57" s="24">
        <f>8.2+34.2</f>
        <v>42.400000000000006</v>
      </c>
    </row>
    <row r="58" spans="1:16" x14ac:dyDescent="0.25">
      <c r="A58" s="23" t="s">
        <v>150</v>
      </c>
      <c r="B58" s="24">
        <v>1401.4</v>
      </c>
      <c r="C58" s="24">
        <v>1324.2</v>
      </c>
      <c r="D58" s="24">
        <f t="shared" si="0"/>
        <v>77.200000000000045</v>
      </c>
      <c r="E58" s="24">
        <f t="shared" si="1"/>
        <v>5.5087769373483688</v>
      </c>
      <c r="F58" s="24">
        <v>191.39999999999998</v>
      </c>
      <c r="G58" s="24">
        <v>0</v>
      </c>
      <c r="H58" s="24">
        <v>0</v>
      </c>
      <c r="I58" s="24">
        <v>14.2</v>
      </c>
      <c r="J58" s="24">
        <v>38.799999999999997</v>
      </c>
      <c r="K58" s="24">
        <v>30</v>
      </c>
      <c r="L58" s="24">
        <v>21</v>
      </c>
      <c r="M58" s="24">
        <v>15.8</v>
      </c>
      <c r="N58" s="24">
        <v>14.8</v>
      </c>
      <c r="O58" s="24">
        <v>13.2</v>
      </c>
      <c r="P58" s="24">
        <f>9+34.6</f>
        <v>43.6</v>
      </c>
    </row>
    <row r="59" spans="1:16" x14ac:dyDescent="0.25">
      <c r="A59" s="23" t="s">
        <v>151</v>
      </c>
      <c r="B59" s="24">
        <v>1576.2</v>
      </c>
      <c r="C59" s="24">
        <v>1521</v>
      </c>
      <c r="D59" s="24">
        <f t="shared" si="0"/>
        <v>55.200000000000045</v>
      </c>
      <c r="E59" s="24">
        <f t="shared" si="1"/>
        <v>3.5020936429387159</v>
      </c>
      <c r="F59" s="24">
        <v>200.8</v>
      </c>
      <c r="G59" s="24">
        <v>0.2</v>
      </c>
      <c r="H59" s="24">
        <v>5.4</v>
      </c>
      <c r="I59" s="24">
        <v>40</v>
      </c>
      <c r="J59" s="24">
        <v>57.2</v>
      </c>
      <c r="K59" s="24">
        <v>28.8</v>
      </c>
      <c r="L59" s="24">
        <v>14.6</v>
      </c>
      <c r="M59" s="24">
        <v>9.6</v>
      </c>
      <c r="N59" s="24">
        <v>8.1999999999999993</v>
      </c>
      <c r="O59" s="24">
        <v>7</v>
      </c>
      <c r="P59" s="24">
        <f>5.8+24</f>
        <v>29.8</v>
      </c>
    </row>
    <row r="60" spans="1:16" x14ac:dyDescent="0.25">
      <c r="A60" s="23" t="s">
        <v>115</v>
      </c>
      <c r="B60" s="24">
        <v>1435.6</v>
      </c>
      <c r="C60" s="24">
        <v>1349.6</v>
      </c>
      <c r="D60" s="24">
        <f t="shared" si="0"/>
        <v>86</v>
      </c>
      <c r="E60" s="24">
        <f t="shared" si="1"/>
        <v>5.99052660908331</v>
      </c>
      <c r="F60" s="24">
        <v>165.60000000000002</v>
      </c>
      <c r="G60" s="24">
        <v>0</v>
      </c>
      <c r="H60" s="24">
        <v>0</v>
      </c>
      <c r="I60" s="24">
        <v>9.1999999999999993</v>
      </c>
      <c r="J60" s="24">
        <v>30.2</v>
      </c>
      <c r="K60" s="24">
        <v>26.8</v>
      </c>
      <c r="L60" s="24">
        <v>19</v>
      </c>
      <c r="M60" s="24">
        <v>13.4</v>
      </c>
      <c r="N60" s="24">
        <v>9.4</v>
      </c>
      <c r="O60" s="24">
        <v>7.2</v>
      </c>
      <c r="P60" s="24">
        <f>4+46.4</f>
        <v>50.4</v>
      </c>
    </row>
    <row r="61" spans="1:16" x14ac:dyDescent="0.25">
      <c r="A61" s="23" t="s">
        <v>121</v>
      </c>
      <c r="B61" s="24">
        <v>1443.4</v>
      </c>
      <c r="C61" s="24">
        <v>1402</v>
      </c>
      <c r="D61" s="24">
        <f t="shared" si="0"/>
        <v>41.400000000000091</v>
      </c>
      <c r="E61" s="24">
        <f t="shared" si="1"/>
        <v>2.8682277954828939</v>
      </c>
      <c r="F61" s="24">
        <v>162.40000000000003</v>
      </c>
      <c r="G61" s="24">
        <v>0</v>
      </c>
      <c r="H61" s="24">
        <v>0</v>
      </c>
      <c r="I61" s="24">
        <v>0</v>
      </c>
      <c r="J61" s="24">
        <v>35</v>
      </c>
      <c r="K61" s="24">
        <v>37.200000000000003</v>
      </c>
      <c r="L61" s="24">
        <v>24.6</v>
      </c>
      <c r="M61" s="24">
        <v>15.4</v>
      </c>
      <c r="N61" s="24">
        <v>11.2</v>
      </c>
      <c r="O61" s="24">
        <v>8.6</v>
      </c>
      <c r="P61" s="24">
        <f>15.8+14.6</f>
        <v>30.4</v>
      </c>
    </row>
    <row r="62" spans="1:16" x14ac:dyDescent="0.25">
      <c r="A62" s="23" t="s">
        <v>122</v>
      </c>
      <c r="B62" s="24">
        <v>1422</v>
      </c>
      <c r="C62" s="24">
        <v>1378.2</v>
      </c>
      <c r="D62" s="24">
        <f t="shared" si="0"/>
        <v>43.799999999999955</v>
      </c>
      <c r="E62" s="24">
        <f t="shared" si="1"/>
        <v>3.080168776371305</v>
      </c>
      <c r="F62" s="24">
        <v>167.2</v>
      </c>
      <c r="G62" s="24">
        <v>0</v>
      </c>
      <c r="H62" s="24">
        <v>0</v>
      </c>
      <c r="I62" s="24">
        <v>0</v>
      </c>
      <c r="J62" s="24">
        <v>34.4</v>
      </c>
      <c r="K62" s="24">
        <v>36.4</v>
      </c>
      <c r="L62" s="24">
        <v>24.2</v>
      </c>
      <c r="M62" s="24">
        <v>15.8</v>
      </c>
      <c r="N62" s="24">
        <v>12.2</v>
      </c>
      <c r="O62" s="24">
        <v>9.4</v>
      </c>
      <c r="P62" s="24">
        <f>17.4+17.4</f>
        <v>34.799999999999997</v>
      </c>
    </row>
  </sheetData>
  <mergeCells count="5">
    <mergeCell ref="A1:A2"/>
    <mergeCell ref="B1:D1"/>
    <mergeCell ref="E1:E2"/>
    <mergeCell ref="F1:F2"/>
    <mergeCell ref="G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ED88-7F84-4304-AE37-B996AEB083DE}">
  <dimension ref="B2:O63"/>
  <sheetViews>
    <sheetView workbookViewId="0">
      <selection activeCell="R16" sqref="R16"/>
    </sheetView>
  </sheetViews>
  <sheetFormatPr baseColWidth="10" defaultColWidth="9.140625" defaultRowHeight="15" x14ac:dyDescent="0.25"/>
  <sheetData>
    <row r="2" spans="2:15" x14ac:dyDescent="0.25">
      <c r="B2" s="110" t="s">
        <v>0</v>
      </c>
      <c r="C2" s="111" t="s">
        <v>2</v>
      </c>
      <c r="D2" s="110" t="s">
        <v>99</v>
      </c>
      <c r="E2" s="110" t="s">
        <v>168</v>
      </c>
      <c r="F2" s="112" t="s">
        <v>174</v>
      </c>
      <c r="G2" s="112"/>
      <c r="H2" s="112"/>
      <c r="I2" s="112"/>
      <c r="J2" s="112"/>
      <c r="K2" s="112"/>
      <c r="L2" s="112"/>
      <c r="M2" s="112"/>
      <c r="N2" s="112"/>
      <c r="O2" s="112"/>
    </row>
    <row r="3" spans="2:15" x14ac:dyDescent="0.25">
      <c r="B3" s="110"/>
      <c r="C3" s="111"/>
      <c r="D3" s="110"/>
      <c r="E3" s="110"/>
      <c r="F3" s="25">
        <v>8</v>
      </c>
      <c r="G3" s="25">
        <v>6.3</v>
      </c>
      <c r="H3" s="25">
        <v>4</v>
      </c>
      <c r="I3" s="25">
        <v>2</v>
      </c>
      <c r="J3" s="25">
        <v>1</v>
      </c>
      <c r="K3" s="25">
        <v>0.5</v>
      </c>
      <c r="L3" s="25">
        <v>0.25</v>
      </c>
      <c r="M3" s="25">
        <v>0.125</v>
      </c>
      <c r="N3" s="25">
        <v>6.3E-2</v>
      </c>
      <c r="O3" s="25" t="s">
        <v>175</v>
      </c>
    </row>
    <row r="4" spans="2:15" x14ac:dyDescent="0.25">
      <c r="B4" s="114" t="s">
        <v>10</v>
      </c>
      <c r="C4" s="113" t="s">
        <v>30</v>
      </c>
      <c r="D4" s="27" t="s">
        <v>104</v>
      </c>
      <c r="E4" s="28">
        <v>2.9919599314617167</v>
      </c>
      <c r="F4" s="29">
        <v>0</v>
      </c>
      <c r="G4" s="29">
        <v>0</v>
      </c>
      <c r="H4" s="29">
        <v>7.8454332552693273</v>
      </c>
      <c r="I4" s="29">
        <v>27.166276346604221</v>
      </c>
      <c r="J4" s="29">
        <v>19.320843091334893</v>
      </c>
      <c r="K4" s="29">
        <v>12.177985948477755</v>
      </c>
      <c r="L4" s="29">
        <v>7.4941451990632402</v>
      </c>
      <c r="M4" s="29">
        <v>5.5035128805620701</v>
      </c>
      <c r="N4" s="29">
        <v>4.8009367681498816</v>
      </c>
      <c r="O4" s="30">
        <v>15.690866510538655</v>
      </c>
    </row>
    <row r="5" spans="2:15" x14ac:dyDescent="0.25">
      <c r="B5" s="114"/>
      <c r="C5" s="113"/>
      <c r="D5" s="27" t="s">
        <v>105</v>
      </c>
      <c r="E5" s="28">
        <v>2.6094704684317716</v>
      </c>
      <c r="F5" s="29">
        <v>0</v>
      </c>
      <c r="G5" s="29">
        <v>0</v>
      </c>
      <c r="H5" s="29">
        <v>3.9488966318234588</v>
      </c>
      <c r="I5" s="29">
        <v>31.01045296167247</v>
      </c>
      <c r="J5" s="29">
        <v>20.209059233449466</v>
      </c>
      <c r="K5" s="29">
        <v>11.730545876887334</v>
      </c>
      <c r="L5" s="29">
        <v>7.7816492450638748</v>
      </c>
      <c r="M5" s="29">
        <v>6.0394889663182454</v>
      </c>
      <c r="N5" s="29">
        <v>4.5296167247386876</v>
      </c>
      <c r="O5" s="30">
        <v>14.750290360046463</v>
      </c>
    </row>
    <row r="6" spans="2:15" x14ac:dyDescent="0.25">
      <c r="B6" s="114"/>
      <c r="C6" s="113"/>
      <c r="D6" s="27" t="s">
        <v>106</v>
      </c>
      <c r="E6" s="28">
        <v>3.7999224505622453</v>
      </c>
      <c r="F6" s="29">
        <v>0</v>
      </c>
      <c r="G6" s="29">
        <v>0</v>
      </c>
      <c r="H6" s="29">
        <v>1.417666303162477</v>
      </c>
      <c r="I6" s="29">
        <v>21.046892039258452</v>
      </c>
      <c r="J6" s="29">
        <v>20.719738276990185</v>
      </c>
      <c r="K6" s="29">
        <v>13.631406761177757</v>
      </c>
      <c r="L6" s="29">
        <v>9.0512540894220166</v>
      </c>
      <c r="M6" s="29">
        <v>7.3064340239912866</v>
      </c>
      <c r="N6" s="29">
        <v>5.1254089422028386</v>
      </c>
      <c r="O6" s="30">
        <v>21.701199563794987</v>
      </c>
    </row>
    <row r="7" spans="2:15" x14ac:dyDescent="0.25">
      <c r="B7" s="114"/>
      <c r="C7" s="113"/>
      <c r="D7" s="27" t="s">
        <v>107</v>
      </c>
      <c r="E7" s="28">
        <v>3.2421874999999969</v>
      </c>
      <c r="F7" s="29">
        <v>0</v>
      </c>
      <c r="G7" s="29">
        <v>0</v>
      </c>
      <c r="H7" s="29">
        <v>0.52465897166841557</v>
      </c>
      <c r="I7" s="29">
        <v>21.511017838405039</v>
      </c>
      <c r="J7" s="29">
        <v>21.406086044071358</v>
      </c>
      <c r="K7" s="29">
        <v>15.005246589716677</v>
      </c>
      <c r="L7" s="29">
        <v>9.8635886673662156</v>
      </c>
      <c r="M7" s="29">
        <v>7.030430220356763</v>
      </c>
      <c r="N7" s="29">
        <v>5.4564533053515305</v>
      </c>
      <c r="O7" s="30">
        <v>19.202518363064002</v>
      </c>
    </row>
    <row r="8" spans="2:15" x14ac:dyDescent="0.25">
      <c r="B8" s="114"/>
      <c r="C8" s="113"/>
      <c r="D8" s="27" t="s">
        <v>109</v>
      </c>
      <c r="E8" s="28">
        <v>6.052672108424451</v>
      </c>
      <c r="F8" s="29">
        <v>0</v>
      </c>
      <c r="G8" s="29">
        <v>0</v>
      </c>
      <c r="H8" s="29">
        <v>2.9246344206974015</v>
      </c>
      <c r="I8" s="29">
        <v>23.84701912260968</v>
      </c>
      <c r="J8" s="29">
        <v>20.472440944881882</v>
      </c>
      <c r="K8" s="29">
        <v>13.610798650168718</v>
      </c>
      <c r="L8" s="29">
        <v>8.8863892013498429</v>
      </c>
      <c r="M8" s="29">
        <v>6.9741282339707595</v>
      </c>
      <c r="N8" s="29">
        <v>5.8492688413948315</v>
      </c>
      <c r="O8" s="30">
        <v>17.435320584926885</v>
      </c>
    </row>
    <row r="9" spans="2:15" x14ac:dyDescent="0.25">
      <c r="B9" s="114"/>
      <c r="C9" s="113"/>
      <c r="D9" s="27" t="s">
        <v>110</v>
      </c>
      <c r="E9" s="28">
        <v>2.1427665779130329</v>
      </c>
      <c r="F9" s="29">
        <v>0</v>
      </c>
      <c r="G9" s="29">
        <v>0</v>
      </c>
      <c r="H9" s="29">
        <v>17.974971558589303</v>
      </c>
      <c r="I9" s="29">
        <v>34.58475540386803</v>
      </c>
      <c r="J9" s="29">
        <v>17.292377701934015</v>
      </c>
      <c r="K9" s="29">
        <v>8.1911262798634823</v>
      </c>
      <c r="L9" s="29">
        <v>4.3230944254835038</v>
      </c>
      <c r="M9" s="29">
        <v>2.8441410693970397</v>
      </c>
      <c r="N9" s="29">
        <v>2.5028441410694029</v>
      </c>
      <c r="O9" s="30">
        <v>12.286689419795209</v>
      </c>
    </row>
    <row r="10" spans="2:15" x14ac:dyDescent="0.25">
      <c r="B10" s="114"/>
      <c r="C10" s="113"/>
      <c r="D10" s="27" t="s">
        <v>111</v>
      </c>
      <c r="E10" s="28">
        <v>2.4547483263079677</v>
      </c>
      <c r="F10" s="29">
        <v>0</v>
      </c>
      <c r="G10" s="29">
        <v>0</v>
      </c>
      <c r="H10" s="29">
        <v>11.462882096069876</v>
      </c>
      <c r="I10" s="29">
        <v>28.711790393013089</v>
      </c>
      <c r="J10" s="29">
        <v>19.75982532751091</v>
      </c>
      <c r="K10" s="29">
        <v>10.37117903930131</v>
      </c>
      <c r="L10" s="29">
        <v>5.8951965065502208</v>
      </c>
      <c r="M10" s="29">
        <v>4.3668122270742344</v>
      </c>
      <c r="N10" s="29">
        <v>3.7117903930131035</v>
      </c>
      <c r="O10" s="30">
        <v>15.720524017467255</v>
      </c>
    </row>
    <row r="11" spans="2:15" x14ac:dyDescent="0.25">
      <c r="B11" s="114"/>
      <c r="C11" s="113"/>
      <c r="D11" s="27" t="s">
        <v>112</v>
      </c>
      <c r="E11" s="28">
        <v>3.3357951747907464</v>
      </c>
      <c r="F11" s="29">
        <v>0</v>
      </c>
      <c r="G11" s="29">
        <v>0</v>
      </c>
      <c r="H11" s="29">
        <v>10.995370370370367</v>
      </c>
      <c r="I11" s="29">
        <v>24.305555555555557</v>
      </c>
      <c r="J11" s="29">
        <v>18.75</v>
      </c>
      <c r="K11" s="29">
        <v>13.078703703703695</v>
      </c>
      <c r="L11" s="29">
        <v>8.4490740740740762</v>
      </c>
      <c r="M11" s="29">
        <v>6.018518518518519</v>
      </c>
      <c r="N11" s="29">
        <v>4.0509259259259238</v>
      </c>
      <c r="O11" s="30">
        <v>14.351851851851862</v>
      </c>
    </row>
    <row r="12" spans="2:15" x14ac:dyDescent="0.25">
      <c r="B12" s="114"/>
      <c r="C12" s="113"/>
      <c r="D12" s="27" t="s">
        <v>113</v>
      </c>
      <c r="E12" s="28">
        <v>3.0596704970233852</v>
      </c>
      <c r="F12" s="29">
        <v>0.7658643326039396</v>
      </c>
      <c r="G12" s="29">
        <v>0.65645514223193402</v>
      </c>
      <c r="H12" s="29">
        <v>6.1269146608315026</v>
      </c>
      <c r="I12" s="29">
        <v>23.413566739606125</v>
      </c>
      <c r="J12" s="29">
        <v>19.256017505470453</v>
      </c>
      <c r="K12" s="29">
        <v>10.612691466083163</v>
      </c>
      <c r="L12" s="29">
        <v>6.6739606126914595</v>
      </c>
      <c r="M12" s="29">
        <v>5.7986870897155427</v>
      </c>
      <c r="N12" s="29">
        <v>5.6892778993435513</v>
      </c>
      <c r="O12" s="30">
        <v>21.006564551422329</v>
      </c>
    </row>
    <row r="13" spans="2:15" x14ac:dyDescent="0.25">
      <c r="B13" s="114"/>
      <c r="C13" s="113"/>
      <c r="D13" s="27" t="s">
        <v>114</v>
      </c>
      <c r="E13" s="28">
        <v>3.7534571315685503</v>
      </c>
      <c r="F13" s="29">
        <v>0</v>
      </c>
      <c r="G13" s="29">
        <v>0</v>
      </c>
      <c r="H13" s="29">
        <v>5.6516724336793658</v>
      </c>
      <c r="I13" s="29">
        <v>23.298731257208772</v>
      </c>
      <c r="J13" s="29">
        <v>20.069204152249142</v>
      </c>
      <c r="K13" s="29">
        <v>11.764705882352942</v>
      </c>
      <c r="L13" s="29">
        <v>6.9204152249134978</v>
      </c>
      <c r="M13" s="29">
        <v>5.6516724336793658</v>
      </c>
      <c r="N13" s="29">
        <v>5.1903114186851269</v>
      </c>
      <c r="O13" s="30">
        <v>21.45328719723183</v>
      </c>
    </row>
    <row r="14" spans="2:15" x14ac:dyDescent="0.25">
      <c r="B14" s="114"/>
      <c r="C14" s="113"/>
      <c r="D14" s="27" t="s">
        <v>115</v>
      </c>
      <c r="E14" s="28">
        <v>5.99052660908331</v>
      </c>
      <c r="F14" s="29">
        <v>0</v>
      </c>
      <c r="G14" s="29">
        <v>0</v>
      </c>
      <c r="H14" s="29">
        <v>5.5555555555555429</v>
      </c>
      <c r="I14" s="29">
        <v>18.236714975845402</v>
      </c>
      <c r="J14" s="29">
        <v>16.183574879227052</v>
      </c>
      <c r="K14" s="29">
        <v>11.473429951690818</v>
      </c>
      <c r="L14" s="29">
        <v>8.0917874396135261</v>
      </c>
      <c r="M14" s="29">
        <v>5.6763285024154584</v>
      </c>
      <c r="N14" s="29">
        <v>4.3478260869565162</v>
      </c>
      <c r="O14" s="30">
        <v>30.434782608695656</v>
      </c>
    </row>
    <row r="15" spans="2:15" x14ac:dyDescent="0.25">
      <c r="B15" s="114"/>
      <c r="C15" s="114" t="s">
        <v>11</v>
      </c>
      <c r="D15" s="32" t="s">
        <v>116</v>
      </c>
      <c r="E15" s="33">
        <v>4.6826384567516977</v>
      </c>
      <c r="F15" s="34">
        <v>0</v>
      </c>
      <c r="G15" s="34">
        <v>0.19824880224682317</v>
      </c>
      <c r="H15" s="34">
        <v>2.5772344292086586</v>
      </c>
      <c r="I15" s="34">
        <v>29.737320337022965</v>
      </c>
      <c r="J15" s="34">
        <v>23.343796464563027</v>
      </c>
      <c r="K15" s="34">
        <v>12.324467206343954</v>
      </c>
      <c r="L15" s="34">
        <v>7.1534776144060714</v>
      </c>
      <c r="M15" s="34">
        <v>4.9892615232116384</v>
      </c>
      <c r="N15" s="34">
        <v>3.8493309102924087</v>
      </c>
      <c r="O15" s="35">
        <v>15.826862712704454</v>
      </c>
    </row>
    <row r="16" spans="2:15" x14ac:dyDescent="0.25">
      <c r="B16" s="114"/>
      <c r="C16" s="114"/>
      <c r="D16" s="32" t="s">
        <v>117</v>
      </c>
      <c r="E16" s="33">
        <v>4.3981129204078488</v>
      </c>
      <c r="F16" s="34">
        <v>0</v>
      </c>
      <c r="G16" s="34">
        <v>0</v>
      </c>
      <c r="H16" s="34">
        <v>1.4669926650366847</v>
      </c>
      <c r="I16" s="34">
        <v>24.938875305623469</v>
      </c>
      <c r="J16" s="34">
        <v>26.772616136919311</v>
      </c>
      <c r="K16" s="34">
        <v>13.814180929095357</v>
      </c>
      <c r="L16" s="34">
        <v>7.2127139364303332</v>
      </c>
      <c r="M16" s="34">
        <v>4.7677261613691968</v>
      </c>
      <c r="N16" s="34">
        <v>3.3007334963325263</v>
      </c>
      <c r="O16" s="35">
        <v>17.72616136919315</v>
      </c>
    </row>
    <row r="17" spans="2:15" x14ac:dyDescent="0.25">
      <c r="B17" s="114"/>
      <c r="C17" s="114"/>
      <c r="D17" s="32" t="s">
        <v>118</v>
      </c>
      <c r="E17" s="33">
        <v>3.41130604288499</v>
      </c>
      <c r="F17" s="34">
        <v>0</v>
      </c>
      <c r="G17" s="34">
        <v>0</v>
      </c>
      <c r="H17" s="34">
        <v>0</v>
      </c>
      <c r="I17" s="34">
        <v>27.262044653349008</v>
      </c>
      <c r="J17" s="34">
        <v>21.621621621621628</v>
      </c>
      <c r="K17" s="34">
        <v>13.160987074030558</v>
      </c>
      <c r="L17" s="34">
        <v>8.46063454759107</v>
      </c>
      <c r="M17" s="34">
        <v>6.1104582843713331</v>
      </c>
      <c r="N17" s="34">
        <v>4.2303172737955208</v>
      </c>
      <c r="O17" s="35">
        <v>19.153936545240896</v>
      </c>
    </row>
    <row r="18" spans="2:15" x14ac:dyDescent="0.25">
      <c r="B18" s="114"/>
      <c r="C18" s="114"/>
      <c r="D18" s="32" t="s">
        <v>119</v>
      </c>
      <c r="E18" s="33">
        <v>3.1439751720415687</v>
      </c>
      <c r="F18" s="34">
        <v>0</v>
      </c>
      <c r="G18" s="34">
        <v>0</v>
      </c>
      <c r="H18" s="34">
        <v>0</v>
      </c>
      <c r="I18" s="34">
        <v>23.75</v>
      </c>
      <c r="J18" s="34">
        <v>21.136363636363626</v>
      </c>
      <c r="K18" s="34">
        <v>14.204545454545453</v>
      </c>
      <c r="L18" s="34">
        <v>9.6590909090909065</v>
      </c>
      <c r="M18" s="34">
        <v>7.2727272727272805</v>
      </c>
      <c r="N18" s="34">
        <v>5.2272727272727195</v>
      </c>
      <c r="O18" s="35">
        <v>18.75</v>
      </c>
    </row>
    <row r="19" spans="2:15" x14ac:dyDescent="0.25">
      <c r="B19" s="114"/>
      <c r="C19" s="114"/>
      <c r="D19" s="32" t="s">
        <v>120</v>
      </c>
      <c r="E19" s="33">
        <v>5.8693550614556003</v>
      </c>
      <c r="F19" s="34">
        <v>0</v>
      </c>
      <c r="G19" s="34">
        <v>0</v>
      </c>
      <c r="H19" s="34">
        <v>3.7844036697247674</v>
      </c>
      <c r="I19" s="34">
        <v>26.720183486238525</v>
      </c>
      <c r="J19" s="34">
        <v>22.591743119266056</v>
      </c>
      <c r="K19" s="34">
        <v>12.500000000000014</v>
      </c>
      <c r="L19" s="34">
        <v>7.6834862385321117</v>
      </c>
      <c r="M19" s="34">
        <v>6.0779816513761347</v>
      </c>
      <c r="N19" s="34">
        <v>4.5871559633027488</v>
      </c>
      <c r="O19" s="35">
        <v>16.055045871559642</v>
      </c>
    </row>
    <row r="20" spans="2:15" x14ac:dyDescent="0.25">
      <c r="B20" s="114"/>
      <c r="C20" s="114"/>
      <c r="D20" s="32" t="s">
        <v>121</v>
      </c>
      <c r="E20" s="33">
        <v>2.8682277954828939</v>
      </c>
      <c r="F20" s="34">
        <v>0</v>
      </c>
      <c r="G20" s="34">
        <v>0</v>
      </c>
      <c r="H20" s="34">
        <v>0</v>
      </c>
      <c r="I20" s="34">
        <v>21.551724137931032</v>
      </c>
      <c r="J20" s="34">
        <v>22.906403940886705</v>
      </c>
      <c r="K20" s="34">
        <v>15.147783251231516</v>
      </c>
      <c r="L20" s="34">
        <v>9.4827586206896513</v>
      </c>
      <c r="M20" s="34">
        <v>6.8965517241379217</v>
      </c>
      <c r="N20" s="34">
        <v>5.2955665024630463</v>
      </c>
      <c r="O20" s="35">
        <v>18.7192118226601</v>
      </c>
    </row>
    <row r="21" spans="2:15" x14ac:dyDescent="0.25">
      <c r="B21" s="114"/>
      <c r="C21" s="114"/>
      <c r="D21" s="32" t="s">
        <v>122</v>
      </c>
      <c r="E21" s="33">
        <v>3.080168776371305</v>
      </c>
      <c r="F21" s="34">
        <v>0</v>
      </c>
      <c r="G21" s="34">
        <v>0</v>
      </c>
      <c r="H21" s="34">
        <v>0</v>
      </c>
      <c r="I21" s="34">
        <v>20.574162679425839</v>
      </c>
      <c r="J21" s="34">
        <v>21.770334928229673</v>
      </c>
      <c r="K21" s="34">
        <v>14.473684210526301</v>
      </c>
      <c r="L21" s="34">
        <v>9.4497607655502378</v>
      </c>
      <c r="M21" s="34">
        <v>7.2966507177033435</v>
      </c>
      <c r="N21" s="34">
        <v>5.6220095693779939</v>
      </c>
      <c r="O21" s="35">
        <v>20.813397129186612</v>
      </c>
    </row>
    <row r="22" spans="2:15" x14ac:dyDescent="0.25">
      <c r="B22" s="114"/>
      <c r="C22" s="113" t="s">
        <v>41</v>
      </c>
      <c r="D22" s="27" t="s">
        <v>123</v>
      </c>
      <c r="E22" s="28">
        <v>4.7895304910955208</v>
      </c>
      <c r="F22" s="29">
        <v>0</v>
      </c>
      <c r="G22" s="29">
        <v>0</v>
      </c>
      <c r="H22" s="29">
        <v>6.1835748792270664</v>
      </c>
      <c r="I22" s="29">
        <v>24.54106280193237</v>
      </c>
      <c r="J22" s="29">
        <v>17.391304347826093</v>
      </c>
      <c r="K22" s="29">
        <v>12.077294685990339</v>
      </c>
      <c r="L22" s="29">
        <v>8.4057971014492807</v>
      </c>
      <c r="M22" s="29">
        <v>5.990338164251213</v>
      </c>
      <c r="N22" s="29">
        <v>4.637681159420282</v>
      </c>
      <c r="O22" s="30">
        <v>20.772946859903385</v>
      </c>
    </row>
    <row r="23" spans="2:15" x14ac:dyDescent="0.25">
      <c r="B23" s="114"/>
      <c r="C23" s="113"/>
      <c r="D23" s="27" t="s">
        <v>124</v>
      </c>
      <c r="E23" s="28">
        <v>2.935064935064938</v>
      </c>
      <c r="F23" s="29">
        <v>1.580611169652272</v>
      </c>
      <c r="G23" s="29">
        <v>1.4752370916754529</v>
      </c>
      <c r="H23" s="29">
        <v>8.8514225500526891</v>
      </c>
      <c r="I23" s="29">
        <v>31.401475237091674</v>
      </c>
      <c r="J23" s="29">
        <v>18.335089567966278</v>
      </c>
      <c r="K23" s="29">
        <v>9.5890410958904084</v>
      </c>
      <c r="L23" s="29">
        <v>6.1116965226554356</v>
      </c>
      <c r="M23" s="29">
        <v>4.4257112750263445</v>
      </c>
      <c r="N23" s="29">
        <v>3.161222339304544</v>
      </c>
      <c r="O23" s="30">
        <v>15.06849315068493</v>
      </c>
    </row>
    <row r="24" spans="2:15" x14ac:dyDescent="0.25">
      <c r="B24" s="114"/>
      <c r="C24" s="113"/>
      <c r="D24" s="27" t="s">
        <v>125</v>
      </c>
      <c r="E24" s="28">
        <v>6.0423868931309084</v>
      </c>
      <c r="F24" s="29">
        <v>0</v>
      </c>
      <c r="G24" s="29">
        <v>0</v>
      </c>
      <c r="H24" s="29">
        <v>4.1062801932367279</v>
      </c>
      <c r="I24" s="29">
        <v>20.772946859903385</v>
      </c>
      <c r="J24" s="29">
        <v>19.806763285024147</v>
      </c>
      <c r="K24" s="29">
        <v>12.439613526570042</v>
      </c>
      <c r="L24" s="29">
        <v>7.9710144927536106</v>
      </c>
      <c r="M24" s="29">
        <v>6.6425120772946826</v>
      </c>
      <c r="N24" s="29">
        <v>5.5555555555555429</v>
      </c>
      <c r="O24" s="30">
        <v>22.705314009661834</v>
      </c>
    </row>
    <row r="25" spans="2:15" x14ac:dyDescent="0.25">
      <c r="B25" s="114"/>
      <c r="C25" s="113"/>
      <c r="D25" s="27" t="s">
        <v>126</v>
      </c>
      <c r="E25" s="28">
        <v>3.0341990228850491</v>
      </c>
      <c r="F25" s="29">
        <v>0</v>
      </c>
      <c r="G25" s="29">
        <v>0</v>
      </c>
      <c r="H25" s="29">
        <v>3.0172413793103487</v>
      </c>
      <c r="I25" s="29">
        <v>21.659482758620697</v>
      </c>
      <c r="J25" s="29">
        <v>19.935344827586206</v>
      </c>
      <c r="K25" s="29">
        <v>12.931034482758619</v>
      </c>
      <c r="L25" s="29">
        <v>8.7284482758620641</v>
      </c>
      <c r="M25" s="29">
        <v>7.5431034482758719</v>
      </c>
      <c r="N25" s="29">
        <v>6.25</v>
      </c>
      <c r="O25" s="30">
        <v>19.935344827586206</v>
      </c>
    </row>
    <row r="26" spans="2:15" x14ac:dyDescent="0.25">
      <c r="B26" s="114"/>
      <c r="C26" s="113"/>
      <c r="D26" s="27" t="s">
        <v>127</v>
      </c>
      <c r="E26" s="28">
        <v>4.2286918719536315</v>
      </c>
      <c r="F26" s="29">
        <v>0</v>
      </c>
      <c r="G26" s="29">
        <v>0</v>
      </c>
      <c r="H26" s="29">
        <v>3.3256880733945025</v>
      </c>
      <c r="I26" s="29">
        <v>27.522935779816521</v>
      </c>
      <c r="J26" s="29">
        <v>20.87155963302753</v>
      </c>
      <c r="K26" s="29">
        <v>11.926605504587158</v>
      </c>
      <c r="L26" s="29">
        <v>7.4541284403669721</v>
      </c>
      <c r="M26" s="29">
        <v>6.1926605504587258</v>
      </c>
      <c r="N26" s="29">
        <v>4.931192660550451</v>
      </c>
      <c r="O26" s="30">
        <v>17.775229357798167</v>
      </c>
    </row>
    <row r="27" spans="2:15" x14ac:dyDescent="0.25">
      <c r="B27" s="114"/>
      <c r="C27" s="113"/>
      <c r="D27" s="27" t="s">
        <v>128</v>
      </c>
      <c r="E27" s="28">
        <v>5.9728236523816634</v>
      </c>
      <c r="F27" s="29">
        <v>0</v>
      </c>
      <c r="G27" s="29">
        <v>0</v>
      </c>
      <c r="H27" s="29">
        <v>0.22371364653244541</v>
      </c>
      <c r="I27" s="29">
        <v>14.317673378076051</v>
      </c>
      <c r="J27" s="29">
        <v>22.706935123042499</v>
      </c>
      <c r="K27" s="29">
        <v>15.659955257270695</v>
      </c>
      <c r="L27" s="29">
        <v>8.8366890380313379</v>
      </c>
      <c r="M27" s="29">
        <v>7.7181208053691392</v>
      </c>
      <c r="N27" s="29">
        <v>6.8232662192393718</v>
      </c>
      <c r="O27" s="30">
        <v>23.713646532438474</v>
      </c>
    </row>
    <row r="28" spans="2:15" x14ac:dyDescent="0.25">
      <c r="B28" s="114"/>
      <c r="C28" s="114" t="s">
        <v>59</v>
      </c>
      <c r="D28" s="32" t="s">
        <v>129</v>
      </c>
      <c r="E28" s="33">
        <v>5.203730976926864</v>
      </c>
      <c r="F28" s="34">
        <v>0</v>
      </c>
      <c r="G28" s="34">
        <v>0</v>
      </c>
      <c r="H28" s="34">
        <v>12.327044025157235</v>
      </c>
      <c r="I28" s="34">
        <v>23.396226415094347</v>
      </c>
      <c r="J28" s="34">
        <v>14.842767295597483</v>
      </c>
      <c r="K28" s="34">
        <v>8.9308176100628884</v>
      </c>
      <c r="L28" s="34">
        <v>6.2893081761006329</v>
      </c>
      <c r="M28" s="34">
        <v>6.9182389937106876</v>
      </c>
      <c r="N28" s="34">
        <v>6.5408805031446491</v>
      </c>
      <c r="O28" s="35">
        <v>20.754716981132077</v>
      </c>
    </row>
    <row r="29" spans="2:15" x14ac:dyDescent="0.25">
      <c r="B29" s="114"/>
      <c r="C29" s="114"/>
      <c r="D29" s="32" t="s">
        <v>130</v>
      </c>
      <c r="E29" s="33">
        <v>7.7015231901420513</v>
      </c>
      <c r="F29" s="34">
        <v>0</v>
      </c>
      <c r="G29" s="34">
        <v>0</v>
      </c>
      <c r="H29" s="34">
        <v>11.716621253405989</v>
      </c>
      <c r="I29" s="34">
        <v>24.386920980926433</v>
      </c>
      <c r="J29" s="34">
        <v>15.395095367847418</v>
      </c>
      <c r="K29" s="34">
        <v>9.9455040871934557</v>
      </c>
      <c r="L29" s="34">
        <v>7.4931880108991891</v>
      </c>
      <c r="M29" s="34">
        <v>6.130790190735695</v>
      </c>
      <c r="N29" s="34">
        <v>3.9509536784741215</v>
      </c>
      <c r="O29" s="35">
        <v>20.980926430517712</v>
      </c>
    </row>
    <row r="30" spans="2:15" x14ac:dyDescent="0.25">
      <c r="B30" s="114"/>
      <c r="C30" s="114"/>
      <c r="D30" s="32" t="s">
        <v>131</v>
      </c>
      <c r="E30" s="33">
        <v>3.4697048161574253</v>
      </c>
      <c r="F30" s="34">
        <v>0</v>
      </c>
      <c r="G30" s="34">
        <v>0.88202866593164231</v>
      </c>
      <c r="H30" s="34">
        <v>12.899669239250272</v>
      </c>
      <c r="I30" s="34">
        <v>23.484013230429994</v>
      </c>
      <c r="J30" s="34">
        <v>16.5380374862183</v>
      </c>
      <c r="K30" s="34">
        <v>10.253583241455345</v>
      </c>
      <c r="L30" s="34">
        <v>6.6152149944873173</v>
      </c>
      <c r="M30" s="34">
        <v>5.5126791620727715</v>
      </c>
      <c r="N30" s="34">
        <v>4.6306504961411292</v>
      </c>
      <c r="O30" s="35">
        <v>19.184123484013242</v>
      </c>
    </row>
    <row r="31" spans="2:15" x14ac:dyDescent="0.25">
      <c r="B31" s="114"/>
      <c r="C31" s="114"/>
      <c r="D31" s="32" t="s">
        <v>132</v>
      </c>
      <c r="E31" s="33">
        <v>5.5414866676597549</v>
      </c>
      <c r="F31" s="34">
        <v>0</v>
      </c>
      <c r="G31" s="34">
        <v>0</v>
      </c>
      <c r="H31" s="34">
        <v>8.4507042253521121</v>
      </c>
      <c r="I31" s="34">
        <v>21.009389671361518</v>
      </c>
      <c r="J31" s="34">
        <v>17.253521126760575</v>
      </c>
      <c r="K31" s="34">
        <v>10.91549295774648</v>
      </c>
      <c r="L31" s="34">
        <v>7.1596244131455364</v>
      </c>
      <c r="M31" s="34">
        <v>5.3990610328638411</v>
      </c>
      <c r="N31" s="34">
        <v>4.4600938967136159</v>
      </c>
      <c r="O31" s="35">
        <v>25.352112676056336</v>
      </c>
    </row>
    <row r="32" spans="2:15" x14ac:dyDescent="0.25">
      <c r="B32" s="114"/>
      <c r="C32" s="113" t="s">
        <v>26</v>
      </c>
      <c r="D32" s="27" t="s">
        <v>133</v>
      </c>
      <c r="E32" s="28">
        <v>5.3478325636824042</v>
      </c>
      <c r="F32" s="29">
        <v>0</v>
      </c>
      <c r="G32" s="29">
        <v>0</v>
      </c>
      <c r="H32" s="29">
        <v>12.891566265060234</v>
      </c>
      <c r="I32" s="29">
        <v>26.626506024096386</v>
      </c>
      <c r="J32" s="29">
        <v>18.55421686746989</v>
      </c>
      <c r="K32" s="29">
        <v>10.722891566265076</v>
      </c>
      <c r="L32" s="29">
        <v>6.6265060240963862</v>
      </c>
      <c r="M32" s="29">
        <v>4.0963855421686759</v>
      </c>
      <c r="N32" s="29">
        <v>3.1325301204819311</v>
      </c>
      <c r="O32" s="30">
        <v>17.349397590361448</v>
      </c>
    </row>
    <row r="33" spans="2:15" x14ac:dyDescent="0.25">
      <c r="B33" s="114"/>
      <c r="C33" s="113"/>
      <c r="D33" s="27" t="s">
        <v>134</v>
      </c>
      <c r="E33" s="28">
        <v>4.3378687862050294</v>
      </c>
      <c r="F33" s="29">
        <v>0</v>
      </c>
      <c r="G33" s="29">
        <v>0</v>
      </c>
      <c r="H33" s="29">
        <v>5.4272517321016238</v>
      </c>
      <c r="I33" s="29">
        <v>18.013856812933014</v>
      </c>
      <c r="J33" s="29">
        <v>21.247113163972273</v>
      </c>
      <c r="K33" s="29">
        <v>18.013856812933014</v>
      </c>
      <c r="L33" s="29">
        <v>11.54734411085451</v>
      </c>
      <c r="M33" s="29">
        <v>6.9284064665126976</v>
      </c>
      <c r="N33" s="29">
        <v>4.1570438799076186</v>
      </c>
      <c r="O33" s="30">
        <v>14.665127020785221</v>
      </c>
    </row>
    <row r="34" spans="2:15" x14ac:dyDescent="0.25">
      <c r="B34" s="114"/>
      <c r="C34" s="114" t="s">
        <v>37</v>
      </c>
      <c r="D34" s="32" t="s">
        <v>135</v>
      </c>
      <c r="E34" s="33">
        <v>4.6015877683034496</v>
      </c>
      <c r="F34" s="34">
        <v>0</v>
      </c>
      <c r="G34" s="34">
        <v>0</v>
      </c>
      <c r="H34" s="34">
        <v>2.5990099009900973</v>
      </c>
      <c r="I34" s="34">
        <v>14.232673267326732</v>
      </c>
      <c r="J34" s="34">
        <v>17.079207920792072</v>
      </c>
      <c r="K34" s="34">
        <v>13.737623762376231</v>
      </c>
      <c r="L34" s="34">
        <v>12.004950495049499</v>
      </c>
      <c r="M34" s="34">
        <v>11.757425742574256</v>
      </c>
      <c r="N34" s="34">
        <v>8.7871287128712794</v>
      </c>
      <c r="O34" s="35">
        <v>19.801980198019791</v>
      </c>
    </row>
    <row r="35" spans="2:15" x14ac:dyDescent="0.25">
      <c r="B35" s="114"/>
      <c r="C35" s="114"/>
      <c r="D35" s="32" t="s">
        <v>136</v>
      </c>
      <c r="E35" s="33">
        <v>7.6459963877182364</v>
      </c>
      <c r="F35" s="34">
        <v>0</v>
      </c>
      <c r="G35" s="34">
        <v>2.0089285714285694</v>
      </c>
      <c r="H35" s="34">
        <v>10.379464285714278</v>
      </c>
      <c r="I35" s="34">
        <v>16.741071428571431</v>
      </c>
      <c r="J35" s="34">
        <v>15.066964285714278</v>
      </c>
      <c r="K35" s="34">
        <v>10.714285714285708</v>
      </c>
      <c r="L35" s="34">
        <v>8.0357142857142918</v>
      </c>
      <c r="M35" s="34">
        <v>7.03125</v>
      </c>
      <c r="N35" s="34">
        <v>5.4687500000000142</v>
      </c>
      <c r="O35" s="35">
        <v>24.553571428571431</v>
      </c>
    </row>
    <row r="36" spans="2:15" x14ac:dyDescent="0.25">
      <c r="B36" s="114"/>
      <c r="C36" s="113" t="s">
        <v>49</v>
      </c>
      <c r="D36" s="27" t="s">
        <v>137</v>
      </c>
      <c r="E36" s="28">
        <v>5.1278449002528799</v>
      </c>
      <c r="F36" s="29">
        <v>0</v>
      </c>
      <c r="G36" s="29">
        <v>0</v>
      </c>
      <c r="H36" s="29">
        <v>2.5773195876288639</v>
      </c>
      <c r="I36" s="29">
        <v>23.969072164948457</v>
      </c>
      <c r="J36" s="29">
        <v>19.072164948453604</v>
      </c>
      <c r="K36" s="29">
        <v>12.242268041237111</v>
      </c>
      <c r="L36" s="29">
        <v>8.3762886597938149</v>
      </c>
      <c r="M36" s="29">
        <v>7.0876288659793829</v>
      </c>
      <c r="N36" s="29">
        <v>6.1855670103092848</v>
      </c>
      <c r="O36" s="30">
        <v>20.489690721649495</v>
      </c>
    </row>
    <row r="37" spans="2:15" x14ac:dyDescent="0.25">
      <c r="B37" s="114"/>
      <c r="C37" s="113"/>
      <c r="D37" s="27" t="s">
        <v>138</v>
      </c>
      <c r="E37" s="28">
        <v>6.1483890038427464</v>
      </c>
      <c r="F37" s="29">
        <v>0</v>
      </c>
      <c r="G37" s="29">
        <v>0</v>
      </c>
      <c r="H37" s="29">
        <v>3.1137724550898156</v>
      </c>
      <c r="I37" s="29">
        <v>24.670658682634723</v>
      </c>
      <c r="J37" s="29">
        <v>20.958083832335333</v>
      </c>
      <c r="K37" s="29">
        <v>12.335329341317362</v>
      </c>
      <c r="L37" s="29">
        <v>7.6646706586826383</v>
      </c>
      <c r="M37" s="29">
        <v>6.2275449101796454</v>
      </c>
      <c r="N37" s="29">
        <v>5.3892215568862269</v>
      </c>
      <c r="O37" s="30">
        <v>19.640718562874255</v>
      </c>
    </row>
    <row r="38" spans="2:15" x14ac:dyDescent="0.25">
      <c r="B38" s="114"/>
      <c r="C38" s="114" t="s">
        <v>70</v>
      </c>
      <c r="D38" s="32" t="s">
        <v>139</v>
      </c>
      <c r="E38" s="33">
        <v>3.6313993174061463</v>
      </c>
      <c r="F38" s="34">
        <v>0.11600928074246042</v>
      </c>
      <c r="G38" s="34">
        <v>3.2482598607888633</v>
      </c>
      <c r="H38" s="34">
        <v>16.357308584686763</v>
      </c>
      <c r="I38" s="34">
        <v>25.754060324825986</v>
      </c>
      <c r="J38" s="34">
        <v>15.429234338747094</v>
      </c>
      <c r="K38" s="34">
        <v>8.1206496519721583</v>
      </c>
      <c r="L38" s="34">
        <v>4.6403712296983883</v>
      </c>
      <c r="M38" s="34">
        <v>3.1322505800464029</v>
      </c>
      <c r="N38" s="34">
        <v>2.4361948955916404</v>
      </c>
      <c r="O38" s="35">
        <v>20.76566125290023</v>
      </c>
    </row>
    <row r="39" spans="2:15" x14ac:dyDescent="0.25">
      <c r="B39" s="114"/>
      <c r="C39" s="114"/>
      <c r="D39" s="32" t="s">
        <v>140</v>
      </c>
      <c r="E39" s="33">
        <v>6.3851181498240397</v>
      </c>
      <c r="F39" s="34">
        <v>9.4978165938864691</v>
      </c>
      <c r="G39" s="34">
        <v>9.8253275109170204</v>
      </c>
      <c r="H39" s="34">
        <v>19.323144104803504</v>
      </c>
      <c r="I39" s="34">
        <v>17.030567685589517</v>
      </c>
      <c r="J39" s="34">
        <v>8.5152838427947586</v>
      </c>
      <c r="K39" s="34">
        <v>4.9126637554585102</v>
      </c>
      <c r="L39" s="34">
        <v>3.2751091703056829</v>
      </c>
      <c r="M39" s="34">
        <v>2.4017467248908275</v>
      </c>
      <c r="N39" s="34">
        <v>1.9650655021834069</v>
      </c>
      <c r="O39" s="35">
        <v>23.253275109170303</v>
      </c>
    </row>
    <row r="40" spans="2:15" x14ac:dyDescent="0.25">
      <c r="B40" s="114"/>
      <c r="C40" s="26" t="s">
        <v>22</v>
      </c>
      <c r="D40" s="27" t="s">
        <v>141</v>
      </c>
      <c r="E40" s="28">
        <v>6.8797159343098091</v>
      </c>
      <c r="F40" s="29">
        <v>0</v>
      </c>
      <c r="G40" s="29">
        <v>0</v>
      </c>
      <c r="H40" s="29">
        <v>5.3392658509454947</v>
      </c>
      <c r="I40" s="29">
        <v>22.803114571746391</v>
      </c>
      <c r="J40" s="29">
        <v>20.355951056729694</v>
      </c>
      <c r="K40" s="29">
        <v>13.125695216907673</v>
      </c>
      <c r="L40" s="29">
        <v>8.6763070077864199</v>
      </c>
      <c r="M40" s="29">
        <v>6.7853170189098932</v>
      </c>
      <c r="N40" s="29">
        <v>5.2280311457174662</v>
      </c>
      <c r="O40" s="30">
        <v>17.686318131256968</v>
      </c>
    </row>
    <row r="41" spans="2:15" x14ac:dyDescent="0.25">
      <c r="B41" s="114"/>
      <c r="C41" s="31" t="s">
        <v>142</v>
      </c>
      <c r="D41" s="32" t="s">
        <v>143</v>
      </c>
      <c r="E41" s="33">
        <v>9.1214057507987256</v>
      </c>
      <c r="F41" s="34">
        <v>0</v>
      </c>
      <c r="G41" s="34">
        <v>5.8682634730539007</v>
      </c>
      <c r="H41" s="34">
        <v>16.167664670658695</v>
      </c>
      <c r="I41" s="34">
        <v>21.077844311377234</v>
      </c>
      <c r="J41" s="34">
        <v>14.371257485029943</v>
      </c>
      <c r="K41" s="34">
        <v>7.6646706586826383</v>
      </c>
      <c r="L41" s="34">
        <v>4.1916167664670638</v>
      </c>
      <c r="M41" s="34">
        <v>2.634730538922156</v>
      </c>
      <c r="N41" s="34">
        <v>2.9940119760479007</v>
      </c>
      <c r="O41" s="35">
        <v>25.029940119760468</v>
      </c>
    </row>
    <row r="42" spans="2:15" x14ac:dyDescent="0.25">
      <c r="B42" s="114"/>
      <c r="C42" s="26" t="s">
        <v>66</v>
      </c>
      <c r="D42" s="27" t="s">
        <v>144</v>
      </c>
      <c r="E42" s="28">
        <v>8.3732731886100904</v>
      </c>
      <c r="F42" s="29">
        <v>2.5611175785797542</v>
      </c>
      <c r="G42" s="29">
        <v>2.2118742724097871</v>
      </c>
      <c r="H42" s="29">
        <v>11.40861466821886</v>
      </c>
      <c r="I42" s="29">
        <v>18.044237485448193</v>
      </c>
      <c r="J42" s="29">
        <v>15.483119906868453</v>
      </c>
      <c r="K42" s="29">
        <v>9.4295692665890556</v>
      </c>
      <c r="L42" s="29">
        <v>6.2863795110593799</v>
      </c>
      <c r="M42" s="29">
        <v>4.5401629802095442</v>
      </c>
      <c r="N42" s="29">
        <v>4.1909196740395771</v>
      </c>
      <c r="O42" s="30">
        <v>25.844004656577411</v>
      </c>
    </row>
    <row r="43" spans="2:15" x14ac:dyDescent="0.25">
      <c r="B43" s="114"/>
      <c r="C43" s="31" t="s">
        <v>74</v>
      </c>
      <c r="D43" s="32" t="s">
        <v>145</v>
      </c>
      <c r="E43" s="33">
        <v>8.310002545176884</v>
      </c>
      <c r="F43" s="34">
        <v>1.4705882352941302</v>
      </c>
      <c r="G43" s="34">
        <v>9.558823529411768</v>
      </c>
      <c r="H43" s="34">
        <v>24.264705882352942</v>
      </c>
      <c r="I43" s="34">
        <v>22.671568627450981</v>
      </c>
      <c r="J43" s="34">
        <v>14.338235294117652</v>
      </c>
      <c r="K43" s="34">
        <v>6.9852941176470722</v>
      </c>
      <c r="L43" s="34">
        <v>3.0637254901960773</v>
      </c>
      <c r="M43" s="34">
        <v>1.1029411764705941</v>
      </c>
      <c r="N43" s="34">
        <v>0.12254901960783116</v>
      </c>
      <c r="O43" s="35">
        <v>16.421568627450995</v>
      </c>
    </row>
    <row r="44" spans="2:15" x14ac:dyDescent="0.25">
      <c r="B44" s="115" t="s">
        <v>146</v>
      </c>
      <c r="C44" s="113" t="s">
        <v>45</v>
      </c>
      <c r="D44" s="27" t="s">
        <v>147</v>
      </c>
      <c r="E44" s="28">
        <v>2.3347843292441688</v>
      </c>
      <c r="F44" s="29">
        <v>0</v>
      </c>
      <c r="G44" s="29">
        <v>0.21528525296017165</v>
      </c>
      <c r="H44" s="29">
        <v>13.778256189451028</v>
      </c>
      <c r="I44" s="29">
        <v>25.941872981700769</v>
      </c>
      <c r="J44" s="29">
        <v>17.330462863293874</v>
      </c>
      <c r="K44" s="29">
        <v>11.30247578040904</v>
      </c>
      <c r="L44" s="29">
        <v>7.8579117330462793</v>
      </c>
      <c r="M44" s="29">
        <v>6.6738428417653495</v>
      </c>
      <c r="N44" s="29">
        <v>4.9515608180839621</v>
      </c>
      <c r="O44" s="30">
        <v>11.948331539289555</v>
      </c>
    </row>
    <row r="45" spans="2:15" x14ac:dyDescent="0.25">
      <c r="B45" s="115"/>
      <c r="C45" s="113"/>
      <c r="D45" s="27" t="s">
        <v>148</v>
      </c>
      <c r="E45" s="28">
        <v>4.6697798532354904</v>
      </c>
      <c r="F45" s="29">
        <v>0</v>
      </c>
      <c r="G45" s="29">
        <v>0.94736842105264429</v>
      </c>
      <c r="H45" s="29">
        <v>11.89473684210526</v>
      </c>
      <c r="I45" s="29">
        <v>23.68421052631578</v>
      </c>
      <c r="J45" s="29">
        <v>15.26315789473685</v>
      </c>
      <c r="K45" s="29">
        <v>11.78947368421052</v>
      </c>
      <c r="L45" s="29">
        <v>8.8421052631578902</v>
      </c>
      <c r="M45" s="29">
        <v>7.6842105263157805</v>
      </c>
      <c r="N45" s="29">
        <v>5.7894736842105203</v>
      </c>
      <c r="O45" s="30">
        <v>14.10526315789474</v>
      </c>
    </row>
    <row r="46" spans="2:15" x14ac:dyDescent="0.25">
      <c r="B46" s="115"/>
      <c r="C46" s="113"/>
      <c r="D46" s="27" t="s">
        <v>149</v>
      </c>
      <c r="E46" s="28">
        <v>5.4069197366577981</v>
      </c>
      <c r="F46" s="29">
        <v>0</v>
      </c>
      <c r="G46" s="29">
        <v>1.3224821973550291</v>
      </c>
      <c r="H46" s="29">
        <v>14.343845371312298</v>
      </c>
      <c r="I46" s="29">
        <v>22.177009155645976</v>
      </c>
      <c r="J46" s="29">
        <v>15.869786368260421</v>
      </c>
      <c r="K46" s="29">
        <v>12.105798575788413</v>
      </c>
      <c r="L46" s="29">
        <v>8.8504577822990882</v>
      </c>
      <c r="M46" s="29">
        <v>6.9175991861648072</v>
      </c>
      <c r="N46" s="29">
        <v>4.7812817904374469</v>
      </c>
      <c r="O46" s="30">
        <v>13.631739572736521</v>
      </c>
    </row>
    <row r="47" spans="2:15" x14ac:dyDescent="0.25">
      <c r="B47" s="115"/>
      <c r="C47" s="113"/>
      <c r="D47" s="27" t="s">
        <v>150</v>
      </c>
      <c r="E47" s="28">
        <v>5.5087769373483688</v>
      </c>
      <c r="F47" s="29">
        <v>0</v>
      </c>
      <c r="G47" s="29">
        <v>0</v>
      </c>
      <c r="H47" s="29">
        <v>7.4190177638453463</v>
      </c>
      <c r="I47" s="29">
        <v>20.271682340647871</v>
      </c>
      <c r="J47" s="29">
        <v>15.67398119122258</v>
      </c>
      <c r="K47" s="29">
        <v>10.971786833855802</v>
      </c>
      <c r="L47" s="29">
        <v>8.2549634273772199</v>
      </c>
      <c r="M47" s="29">
        <v>7.7324973876698095</v>
      </c>
      <c r="N47" s="29">
        <v>6.8965517241379217</v>
      </c>
      <c r="O47" s="30">
        <v>22.779519331243463</v>
      </c>
    </row>
    <row r="48" spans="2:15" x14ac:dyDescent="0.25">
      <c r="B48" s="115"/>
      <c r="C48" s="113"/>
      <c r="D48" s="27" t="s">
        <v>151</v>
      </c>
      <c r="E48" s="28">
        <v>3.5020936429387159</v>
      </c>
      <c r="F48" s="29">
        <v>9.9601593625493479E-2</v>
      </c>
      <c r="G48" s="29">
        <v>2.6892430278884376</v>
      </c>
      <c r="H48" s="29">
        <v>19.920318725099591</v>
      </c>
      <c r="I48" s="29">
        <v>28.486055776892428</v>
      </c>
      <c r="J48" s="29">
        <v>14.342629482071729</v>
      </c>
      <c r="K48" s="29">
        <v>7.2709163346613508</v>
      </c>
      <c r="L48" s="29">
        <v>4.7808764940239001</v>
      </c>
      <c r="M48" s="29">
        <v>4.0836653386454174</v>
      </c>
      <c r="N48" s="29">
        <v>3.4860557768924281</v>
      </c>
      <c r="O48" s="30">
        <v>14.84063745019921</v>
      </c>
    </row>
    <row r="49" spans="2:15" x14ac:dyDescent="0.25">
      <c r="B49" s="115"/>
      <c r="C49" s="114" t="s">
        <v>63</v>
      </c>
      <c r="D49" s="32" t="s">
        <v>152</v>
      </c>
      <c r="E49" s="33">
        <v>4.8364515718467604</v>
      </c>
      <c r="F49" s="34">
        <v>0</v>
      </c>
      <c r="G49" s="34">
        <v>0</v>
      </c>
      <c r="H49" s="34">
        <v>9.8166127292340803</v>
      </c>
      <c r="I49" s="34">
        <v>29.665587918015106</v>
      </c>
      <c r="J49" s="34">
        <v>17.799352750809064</v>
      </c>
      <c r="K49" s="34">
        <v>9.3851132686084071</v>
      </c>
      <c r="L49" s="34">
        <v>5.6094929881337663</v>
      </c>
      <c r="M49" s="34">
        <v>3.8834951456310591</v>
      </c>
      <c r="N49" s="34">
        <v>2.804746494066876</v>
      </c>
      <c r="O49" s="35">
        <v>21.035598705501627</v>
      </c>
    </row>
    <row r="50" spans="2:15" x14ac:dyDescent="0.25">
      <c r="B50" s="115"/>
      <c r="C50" s="114"/>
      <c r="D50" s="32" t="s">
        <v>153</v>
      </c>
      <c r="E50" s="33">
        <v>7.979245547609028</v>
      </c>
      <c r="F50" s="34">
        <v>0</v>
      </c>
      <c r="G50" s="34">
        <v>0</v>
      </c>
      <c r="H50" s="34">
        <v>6.6017316017316006</v>
      </c>
      <c r="I50" s="34">
        <v>27.272727272727266</v>
      </c>
      <c r="J50" s="34">
        <v>19.372294372294377</v>
      </c>
      <c r="K50" s="34">
        <v>11.580086580086572</v>
      </c>
      <c r="L50" s="34">
        <v>6.3852813852813881</v>
      </c>
      <c r="M50" s="34">
        <v>3.3549783549783427</v>
      </c>
      <c r="N50" s="34">
        <v>2.5974025974025921</v>
      </c>
      <c r="O50" s="35">
        <v>22.835497835497833</v>
      </c>
    </row>
    <row r="51" spans="2:15" x14ac:dyDescent="0.25">
      <c r="B51" s="115"/>
      <c r="C51" s="114"/>
      <c r="D51" s="32" t="s">
        <v>154</v>
      </c>
      <c r="E51" s="33">
        <v>7.826489657301626</v>
      </c>
      <c r="F51" s="34">
        <v>0</v>
      </c>
      <c r="G51" s="34">
        <v>0</v>
      </c>
      <c r="H51" s="34">
        <v>6.6834804539722512</v>
      </c>
      <c r="I51" s="34">
        <v>29.255989911727625</v>
      </c>
      <c r="J51" s="34">
        <v>19.924337957124834</v>
      </c>
      <c r="K51" s="34">
        <v>10.592686002522072</v>
      </c>
      <c r="L51" s="34">
        <v>5.6746532156368232</v>
      </c>
      <c r="M51" s="34">
        <v>3.2786885245901516</v>
      </c>
      <c r="N51" s="34">
        <v>2.5220680958385913</v>
      </c>
      <c r="O51" s="35">
        <v>22.068095838587638</v>
      </c>
    </row>
    <row r="52" spans="2:15" x14ac:dyDescent="0.25">
      <c r="B52" s="114" t="s">
        <v>78</v>
      </c>
      <c r="C52" s="113" t="s">
        <v>79</v>
      </c>
      <c r="D52" s="27" t="s">
        <v>155</v>
      </c>
      <c r="E52" s="28">
        <v>4.0426361627453415</v>
      </c>
      <c r="F52" s="29">
        <v>0</v>
      </c>
      <c r="G52" s="29">
        <v>0</v>
      </c>
      <c r="H52" s="29">
        <v>10.655737704918039</v>
      </c>
      <c r="I52" s="29">
        <v>32.991803278688522</v>
      </c>
      <c r="J52" s="29">
        <v>16.905737704918039</v>
      </c>
      <c r="K52" s="29">
        <v>9.1188524590164093</v>
      </c>
      <c r="L52" s="29">
        <v>6.0450819672131217</v>
      </c>
      <c r="M52" s="29">
        <v>4.7131147540983562</v>
      </c>
      <c r="N52" s="29">
        <v>3.5860655737704974</v>
      </c>
      <c r="O52" s="30">
        <v>15.983606557377044</v>
      </c>
    </row>
    <row r="53" spans="2:15" x14ac:dyDescent="0.25">
      <c r="B53" s="114"/>
      <c r="C53" s="113"/>
      <c r="D53" s="27" t="s">
        <v>156</v>
      </c>
      <c r="E53" s="28">
        <v>5.7949479940564634</v>
      </c>
      <c r="F53" s="29">
        <v>0</v>
      </c>
      <c r="G53" s="29">
        <v>0</v>
      </c>
      <c r="H53" s="29">
        <v>5.4413542926239415</v>
      </c>
      <c r="I53" s="29">
        <v>17.896009673518748</v>
      </c>
      <c r="J53" s="29">
        <v>14.631197097944366</v>
      </c>
      <c r="K53" s="29">
        <v>13.5429262394196</v>
      </c>
      <c r="L53" s="29">
        <v>13.059250302297457</v>
      </c>
      <c r="M53" s="29">
        <v>10.278113663845218</v>
      </c>
      <c r="N53" s="29">
        <v>7.4969770253929937</v>
      </c>
      <c r="O53" s="30">
        <v>17.654171704957676</v>
      </c>
    </row>
    <row r="54" spans="2:15" x14ac:dyDescent="0.25">
      <c r="B54" s="114"/>
      <c r="C54" s="113"/>
      <c r="D54" s="27" t="s">
        <v>157</v>
      </c>
      <c r="E54" s="28">
        <v>5.5743990561864134</v>
      </c>
      <c r="F54" s="29">
        <v>0</v>
      </c>
      <c r="G54" s="29">
        <v>0</v>
      </c>
      <c r="H54" s="29">
        <v>3.3388981636060038</v>
      </c>
      <c r="I54" s="29">
        <v>21.1463550361714</v>
      </c>
      <c r="J54" s="29">
        <v>17.584863661658318</v>
      </c>
      <c r="K54" s="29">
        <v>13.299944351697278</v>
      </c>
      <c r="L54" s="29">
        <v>10.350584307178636</v>
      </c>
      <c r="M54" s="29">
        <v>9.5715080690038832</v>
      </c>
      <c r="N54" s="29">
        <v>6.9003895381190858</v>
      </c>
      <c r="O54" s="30">
        <v>17.807456872565382</v>
      </c>
    </row>
    <row r="55" spans="2:15" x14ac:dyDescent="0.25">
      <c r="B55" s="114"/>
      <c r="C55" s="113"/>
      <c r="D55" s="27" t="s">
        <v>158</v>
      </c>
      <c r="E55" s="28">
        <v>6.0806997742663533</v>
      </c>
      <c r="F55" s="29">
        <v>0</v>
      </c>
      <c r="G55" s="29">
        <v>0</v>
      </c>
      <c r="H55" s="29">
        <v>6.5217391304347956</v>
      </c>
      <c r="I55" s="29">
        <v>28.260869565217376</v>
      </c>
      <c r="J55" s="29">
        <v>15.338164251207729</v>
      </c>
      <c r="K55" s="29">
        <v>9.1787439613526516</v>
      </c>
      <c r="L55" s="29">
        <v>7.4879227053140056</v>
      </c>
      <c r="M55" s="29">
        <v>7.1256038647343019</v>
      </c>
      <c r="N55" s="29">
        <v>6.8840579710144851</v>
      </c>
      <c r="O55" s="30">
        <v>19.20289855072464</v>
      </c>
    </row>
    <row r="56" spans="2:15" x14ac:dyDescent="0.25">
      <c r="B56" s="114"/>
      <c r="C56" s="114" t="s">
        <v>85</v>
      </c>
      <c r="D56" s="32" t="s">
        <v>159</v>
      </c>
      <c r="E56" s="33">
        <v>3.8823865258350048</v>
      </c>
      <c r="F56" s="34">
        <v>0</v>
      </c>
      <c r="G56" s="34">
        <v>0</v>
      </c>
      <c r="H56" s="34">
        <v>6.7052023121387236</v>
      </c>
      <c r="I56" s="34">
        <v>28.554913294797686</v>
      </c>
      <c r="J56" s="34">
        <v>20.23121387283237</v>
      </c>
      <c r="K56" s="34">
        <v>10.520231213872819</v>
      </c>
      <c r="L56" s="34">
        <v>4.7398843930635763</v>
      </c>
      <c r="M56" s="34">
        <v>2.543352601156073</v>
      </c>
      <c r="N56" s="34">
        <v>4.27745664739885</v>
      </c>
      <c r="O56" s="35">
        <v>22.427745664739902</v>
      </c>
    </row>
    <row r="57" spans="2:15" x14ac:dyDescent="0.25">
      <c r="B57" s="114"/>
      <c r="C57" s="114"/>
      <c r="D57" s="32" t="s">
        <v>160</v>
      </c>
      <c r="E57" s="33">
        <v>6.1675882603147603</v>
      </c>
      <c r="F57" s="34">
        <v>0</v>
      </c>
      <c r="G57" s="34">
        <v>0.96618357487922424</v>
      </c>
      <c r="H57" s="34">
        <v>12.19806763285024</v>
      </c>
      <c r="I57" s="34">
        <v>25.483091787439619</v>
      </c>
      <c r="J57" s="34">
        <v>17.995169082125599</v>
      </c>
      <c r="K57" s="34">
        <v>9.7826086956521578</v>
      </c>
      <c r="L57" s="34">
        <v>4.5893719806763329</v>
      </c>
      <c r="M57" s="34">
        <v>2.6570048309178702</v>
      </c>
      <c r="N57" s="34">
        <v>4.2270531400966149</v>
      </c>
      <c r="O57" s="35">
        <v>22.101449275362313</v>
      </c>
    </row>
    <row r="58" spans="2:15" x14ac:dyDescent="0.25">
      <c r="B58" s="114"/>
      <c r="C58" s="114"/>
      <c r="D58" s="32" t="s">
        <v>161</v>
      </c>
      <c r="E58" s="33">
        <v>7.4128099721522318</v>
      </c>
      <c r="F58" s="34">
        <v>0</v>
      </c>
      <c r="G58" s="34">
        <v>0.73710073710073232</v>
      </c>
      <c r="H58" s="34">
        <v>12.653562653562645</v>
      </c>
      <c r="I58" s="34">
        <v>27.272727272727266</v>
      </c>
      <c r="J58" s="34">
        <v>17.690417690417689</v>
      </c>
      <c r="K58" s="34">
        <v>9.3366093366093281</v>
      </c>
      <c r="L58" s="34">
        <v>4.2997542997542979</v>
      </c>
      <c r="M58" s="34">
        <v>1.9656019656019623</v>
      </c>
      <c r="N58" s="34">
        <v>3.3169533169533167</v>
      </c>
      <c r="O58" s="35">
        <v>22.727272727272734</v>
      </c>
    </row>
    <row r="59" spans="2:15" x14ac:dyDescent="0.25">
      <c r="B59" s="114"/>
      <c r="C59" s="113" t="s">
        <v>91</v>
      </c>
      <c r="D59" s="27" t="s">
        <v>162</v>
      </c>
      <c r="E59" s="28">
        <v>7.1325021745433368</v>
      </c>
      <c r="F59" s="29">
        <v>1.2793176972281373</v>
      </c>
      <c r="G59" s="29">
        <v>6.0767590618336982</v>
      </c>
      <c r="H59" s="29">
        <v>21.748400852878461</v>
      </c>
      <c r="I59" s="29">
        <v>20.149253731343279</v>
      </c>
      <c r="J59" s="29">
        <v>8.9552238805970177</v>
      </c>
      <c r="K59" s="29">
        <v>4.7974413646055467</v>
      </c>
      <c r="L59" s="29">
        <v>3.9445628997867885</v>
      </c>
      <c r="M59" s="29">
        <v>4.4776119402985159</v>
      </c>
      <c r="N59" s="29">
        <v>6.1833688699360323</v>
      </c>
      <c r="O59" s="30">
        <v>22.388059701492537</v>
      </c>
    </row>
    <row r="60" spans="2:15" x14ac:dyDescent="0.25">
      <c r="B60" s="114"/>
      <c r="C60" s="113"/>
      <c r="D60" s="27" t="s">
        <v>163</v>
      </c>
      <c r="E60" s="28">
        <v>6.5829008467631862</v>
      </c>
      <c r="F60" s="29">
        <v>0</v>
      </c>
      <c r="G60" s="29">
        <v>3.0624263839811476</v>
      </c>
      <c r="H60" s="29">
        <v>12.603062426383985</v>
      </c>
      <c r="I60" s="29">
        <v>18.845700824499417</v>
      </c>
      <c r="J60" s="29">
        <v>16.136631330977622</v>
      </c>
      <c r="K60" s="29">
        <v>9.6584216725559457</v>
      </c>
      <c r="L60" s="29">
        <v>5.7714958775029572</v>
      </c>
      <c r="M60" s="29">
        <v>4.8292108362779658</v>
      </c>
      <c r="N60" s="29">
        <v>5.7714958775029572</v>
      </c>
      <c r="O60" s="30">
        <v>23.321554770318016</v>
      </c>
    </row>
    <row r="61" spans="2:15" x14ac:dyDescent="0.25">
      <c r="B61" s="114"/>
      <c r="C61" s="113"/>
      <c r="D61" s="27" t="s">
        <v>164</v>
      </c>
      <c r="E61" s="28">
        <v>6.4380177299811177</v>
      </c>
      <c r="F61" s="29">
        <v>0</v>
      </c>
      <c r="G61" s="29">
        <v>1.9138755980861077</v>
      </c>
      <c r="H61" s="29">
        <v>12.320574162679421</v>
      </c>
      <c r="I61" s="29">
        <v>23.68421052631578</v>
      </c>
      <c r="J61" s="29">
        <v>16.387559808612437</v>
      </c>
      <c r="K61" s="29">
        <v>10.167464114832541</v>
      </c>
      <c r="L61" s="29">
        <v>6.1004784688995244</v>
      </c>
      <c r="M61" s="29">
        <v>5.6220095693779939</v>
      </c>
      <c r="N61" s="29">
        <v>6.4593301435406829</v>
      </c>
      <c r="O61" s="30">
        <v>17.344497607655498</v>
      </c>
    </row>
    <row r="62" spans="2:15" x14ac:dyDescent="0.25">
      <c r="B62" s="114"/>
      <c r="C62" s="114" t="s">
        <v>82</v>
      </c>
      <c r="D62" s="32" t="s">
        <v>165</v>
      </c>
      <c r="E62" s="33">
        <v>5.6952746137363253</v>
      </c>
      <c r="F62" s="34">
        <v>0</v>
      </c>
      <c r="G62" s="34">
        <v>8.5987261146496792</v>
      </c>
      <c r="H62" s="34">
        <v>17.197452229299373</v>
      </c>
      <c r="I62" s="34">
        <v>15.817409766454361</v>
      </c>
      <c r="J62" s="34">
        <v>10.828025477707016</v>
      </c>
      <c r="K62" s="34">
        <v>8.1740976645435381</v>
      </c>
      <c r="L62" s="34">
        <v>8.067940552016978</v>
      </c>
      <c r="M62" s="34">
        <v>9.5541401273885356</v>
      </c>
      <c r="N62" s="34">
        <v>8.3864118895966158</v>
      </c>
      <c r="O62" s="35">
        <v>13.375796178343947</v>
      </c>
    </row>
    <row r="63" spans="2:15" x14ac:dyDescent="0.25">
      <c r="B63" s="114"/>
      <c r="C63" s="114"/>
      <c r="D63" s="32" t="s">
        <v>166</v>
      </c>
      <c r="E63" s="33">
        <v>4.8699717541638261</v>
      </c>
      <c r="F63" s="34">
        <v>1.3565891472868259</v>
      </c>
      <c r="G63" s="34">
        <v>11.240310077519382</v>
      </c>
      <c r="H63" s="34">
        <v>21.996124031007753</v>
      </c>
      <c r="I63" s="34">
        <v>17.151162790697668</v>
      </c>
      <c r="J63" s="34">
        <v>10.562015503875983</v>
      </c>
      <c r="K63" s="34">
        <v>6.7829457364341152</v>
      </c>
      <c r="L63" s="34">
        <v>5.7170542635658848</v>
      </c>
      <c r="M63" s="34">
        <v>6.4922480620155056</v>
      </c>
      <c r="N63" s="34">
        <v>6.4922480620155056</v>
      </c>
      <c r="O63" s="35">
        <v>12.20930232558139</v>
      </c>
    </row>
  </sheetData>
  <mergeCells count="22">
    <mergeCell ref="B52:B63"/>
    <mergeCell ref="C52:C55"/>
    <mergeCell ref="C56:C58"/>
    <mergeCell ref="C59:C61"/>
    <mergeCell ref="C62:C63"/>
    <mergeCell ref="C32:C33"/>
    <mergeCell ref="C34:C35"/>
    <mergeCell ref="C36:C37"/>
    <mergeCell ref="C38:C39"/>
    <mergeCell ref="B44:B51"/>
    <mergeCell ref="C44:C48"/>
    <mergeCell ref="C49:C51"/>
    <mergeCell ref="B4:B43"/>
    <mergeCell ref="C4:C14"/>
    <mergeCell ref="C15:C21"/>
    <mergeCell ref="C22:C27"/>
    <mergeCell ref="C28:C31"/>
    <mergeCell ref="B2:B3"/>
    <mergeCell ref="C2:C3"/>
    <mergeCell ref="D2:D3"/>
    <mergeCell ref="E2:E3"/>
    <mergeCell ref="F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CD5E-E1D9-41E3-9106-C7D3FFDB6792}">
  <dimension ref="A1:O62"/>
  <sheetViews>
    <sheetView tabSelected="1" workbookViewId="0">
      <selection activeCell="A2" sqref="A2:D2"/>
    </sheetView>
  </sheetViews>
  <sheetFormatPr baseColWidth="10" defaultColWidth="9.140625" defaultRowHeight="15" x14ac:dyDescent="0.25"/>
  <cols>
    <col min="1" max="1" width="10.28515625" style="36" customWidth="1"/>
    <col min="2" max="2" width="11.28515625" style="36" bestFit="1" customWidth="1"/>
    <col min="3" max="3" width="14" style="36" customWidth="1"/>
    <col min="4" max="4" width="9.140625" style="36"/>
    <col min="5" max="15" width="6.7109375" style="36" customWidth="1"/>
    <col min="16" max="16384" width="9.140625" style="36"/>
  </cols>
  <sheetData>
    <row r="1" spans="1:15" ht="15" customHeight="1" x14ac:dyDescent="0.25">
      <c r="E1" s="117" t="s">
        <v>177</v>
      </c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ht="30" x14ac:dyDescent="0.25">
      <c r="A2" s="121" t="s">
        <v>0</v>
      </c>
      <c r="B2" s="122" t="s">
        <v>2</v>
      </c>
      <c r="C2" s="121" t="s">
        <v>99</v>
      </c>
      <c r="D2" s="122" t="s">
        <v>176</v>
      </c>
      <c r="E2" s="37" t="s">
        <v>178</v>
      </c>
      <c r="F2" s="37" t="s">
        <v>179</v>
      </c>
      <c r="G2" s="37" t="s">
        <v>180</v>
      </c>
      <c r="H2" s="37" t="s">
        <v>181</v>
      </c>
      <c r="I2" s="37" t="s">
        <v>182</v>
      </c>
      <c r="J2" s="37" t="s">
        <v>183</v>
      </c>
      <c r="K2" s="37" t="s">
        <v>184</v>
      </c>
      <c r="L2" s="37" t="s">
        <v>185</v>
      </c>
      <c r="M2" s="37" t="s">
        <v>186</v>
      </c>
      <c r="N2" s="37" t="s">
        <v>187</v>
      </c>
      <c r="O2" s="37" t="s">
        <v>188</v>
      </c>
    </row>
    <row r="3" spans="1:15" x14ac:dyDescent="0.25">
      <c r="A3" s="43" t="s">
        <v>10</v>
      </c>
      <c r="B3" s="38" t="s">
        <v>30</v>
      </c>
      <c r="C3" s="39" t="s">
        <v>104</v>
      </c>
      <c r="D3" s="40">
        <v>34.563829337392669</v>
      </c>
      <c r="E3" s="40">
        <v>13.78282062666498</v>
      </c>
      <c r="F3" s="40">
        <v>0.25520106558416861</v>
      </c>
      <c r="G3" s="40">
        <v>3.9379487504757091</v>
      </c>
      <c r="H3" s="40">
        <v>2.1783701213581983</v>
      </c>
      <c r="I3" s="40">
        <v>0.13800488392743887</v>
      </c>
      <c r="J3" s="40">
        <v>4.5340722652120622</v>
      </c>
      <c r="K3" s="40">
        <v>38.005327920842333</v>
      </c>
      <c r="L3" s="40">
        <v>0.1498488308173708</v>
      </c>
      <c r="M3" s="40">
        <v>1.3329347963973113</v>
      </c>
      <c r="N3" s="40">
        <v>0.71240359000380604</v>
      </c>
      <c r="O3" s="40">
        <v>0.40897606664129582</v>
      </c>
    </row>
    <row r="4" spans="1:15" x14ac:dyDescent="0.25">
      <c r="A4" s="43" t="s">
        <v>10</v>
      </c>
      <c r="B4" s="38" t="s">
        <v>30</v>
      </c>
      <c r="C4" s="39" t="s">
        <v>105</v>
      </c>
      <c r="D4" s="40">
        <v>31.921137472100558</v>
      </c>
      <c r="E4" s="40">
        <v>16.386582210465395</v>
      </c>
      <c r="F4" s="40">
        <v>0.32201301975696434</v>
      </c>
      <c r="G4" s="40">
        <v>4.6674868149127855</v>
      </c>
      <c r="H4" s="40">
        <v>3.2473617425808032</v>
      </c>
      <c r="I4" s="40">
        <v>0.13254954534182023</v>
      </c>
      <c r="J4" s="40">
        <v>4.9214209721418509</v>
      </c>
      <c r="K4" s="40">
        <v>34.420672894105962</v>
      </c>
      <c r="L4" s="40">
        <v>0.21921393733983621</v>
      </c>
      <c r="M4" s="40">
        <v>1.6733784409357684</v>
      </c>
      <c r="N4" s="40">
        <v>1.2643606348681484</v>
      </c>
      <c r="O4" s="40">
        <v>0.65764181201950855</v>
      </c>
    </row>
    <row r="5" spans="1:15" x14ac:dyDescent="0.25">
      <c r="A5" s="43" t="s">
        <v>10</v>
      </c>
      <c r="B5" s="38" t="s">
        <v>30</v>
      </c>
      <c r="C5" s="39" t="s">
        <v>106</v>
      </c>
      <c r="D5" s="40">
        <v>26.24930889295285</v>
      </c>
      <c r="E5" s="40">
        <v>25.122376418151656</v>
      </c>
      <c r="F5" s="40">
        <v>0.48480754306128515</v>
      </c>
      <c r="G5" s="40">
        <v>7.3239525066984212</v>
      </c>
      <c r="H5" s="40">
        <v>3.2257224777782501</v>
      </c>
      <c r="I5" s="40">
        <v>0.11024990813592478</v>
      </c>
      <c r="J5" s="40">
        <v>3.4958712593033634</v>
      </c>
      <c r="K5" s="40">
        <v>28.986234125802742</v>
      </c>
      <c r="L5" s="40">
        <v>0.39281093097435454</v>
      </c>
      <c r="M5" s="40">
        <v>3.0709345272827795</v>
      </c>
      <c r="N5" s="40">
        <v>1.2727658269042654</v>
      </c>
      <c r="O5" s="40">
        <v>0.60673956066856616</v>
      </c>
    </row>
    <row r="6" spans="1:15" x14ac:dyDescent="0.25">
      <c r="A6" s="43" t="s">
        <v>10</v>
      </c>
      <c r="B6" s="38" t="s">
        <v>30</v>
      </c>
      <c r="C6" s="39" t="s">
        <v>107</v>
      </c>
      <c r="D6" s="40">
        <v>32.412477185996337</v>
      </c>
      <c r="E6" s="40">
        <v>16.085830429732873</v>
      </c>
      <c r="F6" s="40">
        <v>0.30549560311929658</v>
      </c>
      <c r="G6" s="40">
        <v>4.5601301642608272</v>
      </c>
      <c r="H6" s="40">
        <v>2.8102891986062728</v>
      </c>
      <c r="I6" s="40">
        <v>0.1161153641944583</v>
      </c>
      <c r="J6" s="40">
        <v>3.8977724406835916</v>
      </c>
      <c r="K6" s="40">
        <v>36.632437365189986</v>
      </c>
      <c r="L6" s="40">
        <v>0.22979757756761249</v>
      </c>
      <c r="M6" s="40">
        <v>1.6342663016426087</v>
      </c>
      <c r="N6" s="40">
        <v>1.0404423261987725</v>
      </c>
      <c r="O6" s="40">
        <v>0.62856396217023414</v>
      </c>
    </row>
    <row r="7" spans="1:15" x14ac:dyDescent="0.25">
      <c r="A7" s="43" t="s">
        <v>10</v>
      </c>
      <c r="B7" s="38" t="s">
        <v>30</v>
      </c>
      <c r="C7" s="41" t="s">
        <v>109</v>
      </c>
      <c r="D7" s="42">
        <v>30.307225149593609</v>
      </c>
      <c r="E7" s="42">
        <v>17.520066669643661</v>
      </c>
      <c r="F7" s="42">
        <v>0.35334236849156042</v>
      </c>
      <c r="G7" s="42">
        <v>5.2325335357685123</v>
      </c>
      <c r="H7" s="42">
        <v>4.2080497454675383</v>
      </c>
      <c r="I7" s="42">
        <v>0.1276074707510941</v>
      </c>
      <c r="J7" s="42">
        <v>4.3167704742341719</v>
      </c>
      <c r="K7" s="42">
        <v>33.884627132267589</v>
      </c>
      <c r="L7" s="42">
        <v>0.14147633294632497</v>
      </c>
      <c r="M7" s="42">
        <v>2.1381743324104683</v>
      </c>
      <c r="N7" s="42">
        <v>1.4546972894525325</v>
      </c>
      <c r="O7" s="42">
        <v>0.58541930874341364</v>
      </c>
    </row>
    <row r="8" spans="1:15" x14ac:dyDescent="0.25">
      <c r="A8" s="43" t="s">
        <v>10</v>
      </c>
      <c r="B8" s="38" t="s">
        <v>30</v>
      </c>
      <c r="C8" s="41" t="s">
        <v>110</v>
      </c>
      <c r="D8" s="42">
        <v>32.267684599785291</v>
      </c>
      <c r="E8" s="42">
        <v>16.90259930812358</v>
      </c>
      <c r="F8" s="42">
        <v>0.31766455922700698</v>
      </c>
      <c r="G8" s="42">
        <v>4.7663230347131096</v>
      </c>
      <c r="H8" s="42">
        <v>1.7481710604795417</v>
      </c>
      <c r="I8" s="42">
        <v>7.9246809018251221E-2</v>
      </c>
      <c r="J8" s="42">
        <v>2.0150363831563878</v>
      </c>
      <c r="K8" s="42">
        <v>38.864802576643207</v>
      </c>
      <c r="L8" s="42">
        <v>0.26754264583084814</v>
      </c>
      <c r="M8" s="42">
        <v>1.6350580937611834</v>
      </c>
      <c r="N8" s="42">
        <v>0.56089130382917807</v>
      </c>
      <c r="O8" s="42">
        <v>0.61975068591196469</v>
      </c>
    </row>
    <row r="9" spans="1:15" x14ac:dyDescent="0.25">
      <c r="A9" s="43" t="s">
        <v>10</v>
      </c>
      <c r="B9" s="38" t="s">
        <v>30</v>
      </c>
      <c r="C9" s="41" t="s">
        <v>111</v>
      </c>
      <c r="D9" s="42">
        <v>34.007675178850647</v>
      </c>
      <c r="E9" s="42">
        <v>14.124337281470595</v>
      </c>
      <c r="F9" s="42">
        <v>0.25011091107215605</v>
      </c>
      <c r="G9" s="42">
        <v>3.8565914625479683</v>
      </c>
      <c r="H9" s="42">
        <v>1.6227512673520625</v>
      </c>
      <c r="I9" s="42">
        <v>8.5460060643388416E-2</v>
      </c>
      <c r="J9" s="42">
        <v>2.0550009949305905</v>
      </c>
      <c r="K9" s="42">
        <v>41.370588430378525</v>
      </c>
      <c r="L9" s="42">
        <v>0.16432088880466189</v>
      </c>
      <c r="M9" s="42">
        <v>1.4425922205903248</v>
      </c>
      <c r="N9" s="42">
        <v>0.5212073814374375</v>
      </c>
      <c r="O9" s="42">
        <v>0.62626716255270731</v>
      </c>
    </row>
    <row r="10" spans="1:15" x14ac:dyDescent="0.25">
      <c r="A10" s="43" t="s">
        <v>10</v>
      </c>
      <c r="B10" s="38" t="s">
        <v>30</v>
      </c>
      <c r="C10" s="41" t="s">
        <v>112</v>
      </c>
      <c r="D10" s="42">
        <v>33.41647104851328</v>
      </c>
      <c r="E10" s="42">
        <v>11.720032766040692</v>
      </c>
      <c r="F10" s="42">
        <v>0.22838150430359944</v>
      </c>
      <c r="G10" s="42">
        <v>3.418398376369328</v>
      </c>
      <c r="H10" s="42">
        <v>2.9955929675273869</v>
      </c>
      <c r="I10" s="42">
        <v>0.11439050273865418</v>
      </c>
      <c r="J10" s="42">
        <v>1.6213089299687016</v>
      </c>
      <c r="K10" s="42">
        <v>42.640091940532095</v>
      </c>
      <c r="L10" s="42">
        <v>0.19309223395931147</v>
      </c>
      <c r="M10" s="42">
        <v>0.9548078051643194</v>
      </c>
      <c r="N10" s="42">
        <v>1.7687248630672932</v>
      </c>
      <c r="O10" s="42">
        <v>0.70179039514867003</v>
      </c>
    </row>
    <row r="11" spans="1:15" x14ac:dyDescent="0.25">
      <c r="A11" s="43" t="s">
        <v>10</v>
      </c>
      <c r="B11" s="38" t="s">
        <v>30</v>
      </c>
      <c r="C11" s="41" t="s">
        <v>113</v>
      </c>
      <c r="D11" s="42">
        <v>32.683064744133453</v>
      </c>
      <c r="E11" s="42">
        <v>16.943672603901611</v>
      </c>
      <c r="F11" s="42">
        <v>0.32985298275374608</v>
      </c>
      <c r="G11" s="42">
        <v>4.8925948543963811</v>
      </c>
      <c r="H11" s="42">
        <v>2.4550486287814528</v>
      </c>
      <c r="I11" s="42">
        <v>0.14500067854113655</v>
      </c>
      <c r="J11" s="42">
        <v>6.2988456318914325</v>
      </c>
      <c r="K11" s="42">
        <v>33.456516822165675</v>
      </c>
      <c r="L11" s="42">
        <v>0.34062369239468476</v>
      </c>
      <c r="M11" s="42">
        <v>1.4069239468476109</v>
      </c>
      <c r="N11" s="42">
        <v>0.78565595137121857</v>
      </c>
      <c r="O11" s="42">
        <v>0.51901357082273114</v>
      </c>
    </row>
    <row r="12" spans="1:15" x14ac:dyDescent="0.25">
      <c r="A12" s="43" t="s">
        <v>10</v>
      </c>
      <c r="B12" s="38" t="s">
        <v>30</v>
      </c>
      <c r="C12" s="41" t="s">
        <v>114</v>
      </c>
      <c r="D12" s="42">
        <v>32.56016362766006</v>
      </c>
      <c r="E12" s="42">
        <v>17.049465033291259</v>
      </c>
      <c r="F12" s="42">
        <v>0.32573440967840195</v>
      </c>
      <c r="G12" s="42">
        <v>4.8819697549936887</v>
      </c>
      <c r="H12" s="42">
        <v>2.4514380521345567</v>
      </c>
      <c r="I12" s="42">
        <v>0.14142133687279687</v>
      </c>
      <c r="J12" s="42">
        <v>5.9670767222246388</v>
      </c>
      <c r="K12" s="42">
        <v>34.003165498933804</v>
      </c>
      <c r="L12" s="42">
        <v>0.36552391313808252</v>
      </c>
      <c r="M12" s="42">
        <v>1.2793336959832888</v>
      </c>
      <c r="N12" s="42">
        <v>0.79747606510291991</v>
      </c>
      <c r="O12" s="42">
        <v>0.57054101570999594</v>
      </c>
    </row>
    <row r="13" spans="1:15" x14ac:dyDescent="0.25">
      <c r="A13" s="43" t="s">
        <v>10</v>
      </c>
      <c r="B13" s="38" t="s">
        <v>30</v>
      </c>
      <c r="C13" s="39" t="s">
        <v>115</v>
      </c>
      <c r="D13" s="40">
        <v>25.810255962260833</v>
      </c>
      <c r="E13" s="40">
        <v>27.129943006901378</v>
      </c>
      <c r="F13" s="40">
        <v>0.46591159255700199</v>
      </c>
      <c r="G13" s="40">
        <v>7.4330704551410873</v>
      </c>
      <c r="H13" s="40">
        <v>2.6188979645321924</v>
      </c>
      <c r="I13" s="40">
        <v>7.2335000436795693E-2</v>
      </c>
      <c r="J13" s="40">
        <v>2.3777812964095406</v>
      </c>
      <c r="K13" s="40">
        <v>29.097217611601302</v>
      </c>
      <c r="L13" s="40">
        <v>0.34720800209661934</v>
      </c>
      <c r="M13" s="40">
        <v>3.1345166855944795</v>
      </c>
      <c r="N13" s="40">
        <v>0.22353369878570811</v>
      </c>
      <c r="O13" s="40">
        <v>1.0460753909321223</v>
      </c>
    </row>
    <row r="14" spans="1:15" x14ac:dyDescent="0.25">
      <c r="A14" s="43" t="s">
        <v>10</v>
      </c>
      <c r="B14" s="43" t="s">
        <v>11</v>
      </c>
      <c r="C14" s="44" t="s">
        <v>116</v>
      </c>
      <c r="D14" s="45">
        <v>35.746644295301998</v>
      </c>
      <c r="E14" s="45">
        <v>11.710174077181211</v>
      </c>
      <c r="F14" s="45">
        <v>0.17541166107382555</v>
      </c>
      <c r="G14" s="45">
        <v>2.57013422818792</v>
      </c>
      <c r="H14" s="45">
        <v>2.149917281879195</v>
      </c>
      <c r="I14" s="45">
        <v>0.13126960570469803</v>
      </c>
      <c r="J14" s="45">
        <v>4.1738979865771828</v>
      </c>
      <c r="K14" s="45">
        <v>40.698075503355717</v>
      </c>
      <c r="L14" s="45">
        <v>9.1882298657718131E-2</v>
      </c>
      <c r="M14" s="45">
        <v>1.1777640100671143</v>
      </c>
      <c r="N14" s="45">
        <v>0.44026399328859073</v>
      </c>
      <c r="O14" s="45">
        <v>1.0505423657718123</v>
      </c>
    </row>
    <row r="15" spans="1:15" x14ac:dyDescent="0.25">
      <c r="A15" s="43" t="s">
        <v>10</v>
      </c>
      <c r="B15" s="43" t="s">
        <v>11</v>
      </c>
      <c r="C15" s="46" t="s">
        <v>117</v>
      </c>
      <c r="D15" s="47">
        <v>34.085024638770598</v>
      </c>
      <c r="E15" s="47">
        <v>14.18885759625824</v>
      </c>
      <c r="F15" s="47">
        <v>0.2201560177065062</v>
      </c>
      <c r="G15" s="47">
        <v>3.3280471059884729</v>
      </c>
      <c r="H15" s="47">
        <v>1.7434510983045177</v>
      </c>
      <c r="I15" s="47">
        <v>9.2017305604276248E-2</v>
      </c>
      <c r="J15" s="47">
        <v>2.4757664745677763</v>
      </c>
      <c r="K15" s="47">
        <v>40.887059216570599</v>
      </c>
      <c r="L15" s="47">
        <v>0.19642662657646359</v>
      </c>
      <c r="M15" s="47">
        <v>1.1943793535454768</v>
      </c>
      <c r="N15" s="47">
        <v>0.42950197945377072</v>
      </c>
      <c r="O15" s="47">
        <v>1.0506847072579968</v>
      </c>
    </row>
    <row r="16" spans="1:15" x14ac:dyDescent="0.25">
      <c r="A16" s="43" t="s">
        <v>10</v>
      </c>
      <c r="B16" s="43" t="s">
        <v>11</v>
      </c>
      <c r="C16" s="48" t="s">
        <v>118</v>
      </c>
      <c r="D16" s="49">
        <v>31.171007927519838</v>
      </c>
      <c r="E16" s="49">
        <v>19.703675560588895</v>
      </c>
      <c r="F16" s="49">
        <v>0.32211968289920717</v>
      </c>
      <c r="G16" s="49">
        <v>4.9006242355605876</v>
      </c>
      <c r="H16" s="49">
        <v>2.2266178935447334</v>
      </c>
      <c r="I16" s="49">
        <v>8.9477689694224219E-2</v>
      </c>
      <c r="J16" s="49">
        <v>2.7985868176670436</v>
      </c>
      <c r="K16" s="49">
        <v>35.653417893544727</v>
      </c>
      <c r="L16" s="49">
        <v>0.44738844847112108</v>
      </c>
      <c r="M16" s="49">
        <v>1.2568173952434878</v>
      </c>
      <c r="N16" s="49">
        <v>0.36307293318233286</v>
      </c>
      <c r="O16" s="49">
        <v>1.2994913703284254</v>
      </c>
    </row>
    <row r="17" spans="1:15" x14ac:dyDescent="0.25">
      <c r="A17" s="43" t="s">
        <v>10</v>
      </c>
      <c r="B17" s="43" t="s">
        <v>11</v>
      </c>
      <c r="C17" s="48" t="s">
        <v>119</v>
      </c>
      <c r="D17" s="49">
        <v>31.369790750835229</v>
      </c>
      <c r="E17" s="49">
        <v>19.234988746263408</v>
      </c>
      <c r="F17" s="49">
        <v>0.32050307719359944</v>
      </c>
      <c r="G17" s="49">
        <v>4.8027420432565506</v>
      </c>
      <c r="H17" s="49">
        <v>2.3986258132583087</v>
      </c>
      <c r="I17" s="49">
        <v>9.985695445753473E-2</v>
      </c>
      <c r="J17" s="49">
        <v>3.2983678565148584</v>
      </c>
      <c r="K17" s="49">
        <v>35.447503077193602</v>
      </c>
      <c r="L17" s="49">
        <v>0.47903886055917</v>
      </c>
      <c r="M17" s="49">
        <v>1.2518150167047652</v>
      </c>
      <c r="N17" s="49">
        <v>0.41706578160717428</v>
      </c>
      <c r="O17" s="49">
        <v>1.2360300685774575</v>
      </c>
    </row>
    <row r="18" spans="1:15" x14ac:dyDescent="0.25">
      <c r="A18" s="43" t="s">
        <v>10</v>
      </c>
      <c r="B18" s="43" t="s">
        <v>11</v>
      </c>
      <c r="C18" s="48" t="s">
        <v>120</v>
      </c>
      <c r="D18" s="49">
        <v>33.063666826232705</v>
      </c>
      <c r="E18" s="49">
        <v>16.605565533748191</v>
      </c>
      <c r="F18" s="49">
        <v>0.26774533269506917</v>
      </c>
      <c r="G18" s="49">
        <v>4.1828514600287177</v>
      </c>
      <c r="H18" s="49">
        <v>2.2798515078985142</v>
      </c>
      <c r="I18" s="49">
        <v>0.11633534705600757</v>
      </c>
      <c r="J18" s="49">
        <v>3.4505679751077043</v>
      </c>
      <c r="K18" s="49">
        <v>37.317005744375265</v>
      </c>
      <c r="L18" s="49">
        <v>0.37551282910483452</v>
      </c>
      <c r="M18" s="49">
        <v>1.1820956438487304</v>
      </c>
      <c r="N18" s="49">
        <v>0.53053737673527956</v>
      </c>
      <c r="O18" s="49">
        <v>1.00672245093346</v>
      </c>
    </row>
    <row r="19" spans="1:15" x14ac:dyDescent="0.25">
      <c r="A19" s="43" t="s">
        <v>10</v>
      </c>
      <c r="B19" s="43" t="s">
        <v>11</v>
      </c>
      <c r="C19" s="44" t="s">
        <v>121</v>
      </c>
      <c r="D19" s="45">
        <v>30.832029722330894</v>
      </c>
      <c r="E19" s="45">
        <v>18.677344012514652</v>
      </c>
      <c r="F19" s="45">
        <v>0.34099809346890864</v>
      </c>
      <c r="G19" s="45">
        <v>5.0333531971059804</v>
      </c>
      <c r="H19" s="45">
        <v>2.5730484943292908</v>
      </c>
      <c r="I19" s="45">
        <v>9.6973494329292073E-2</v>
      </c>
      <c r="J19" s="45">
        <v>3.1575178431755946</v>
      </c>
      <c r="K19" s="45">
        <v>35.005909757528329</v>
      </c>
      <c r="L19" s="45">
        <v>0.20197047321079376</v>
      </c>
      <c r="M19" s="45">
        <v>2.0017210598357438</v>
      </c>
      <c r="N19" s="45">
        <v>0.59027945834962814</v>
      </c>
      <c r="O19" s="45">
        <v>0.99186869378177489</v>
      </c>
    </row>
    <row r="20" spans="1:15" x14ac:dyDescent="0.25">
      <c r="A20" s="43" t="s">
        <v>10</v>
      </c>
      <c r="B20" s="43" t="s">
        <v>11</v>
      </c>
      <c r="C20" s="44" t="s">
        <v>122</v>
      </c>
      <c r="D20" s="45">
        <v>31.688065144627053</v>
      </c>
      <c r="E20" s="45">
        <v>17.468400083928664</v>
      </c>
      <c r="F20" s="45">
        <v>0.30808682619773198</v>
      </c>
      <c r="G20" s="45">
        <v>4.6431622121196989</v>
      </c>
      <c r="H20" s="45">
        <v>2.4913362641754513</v>
      </c>
      <c r="I20" s="45">
        <v>0.1025362142179148</v>
      </c>
      <c r="J20" s="45">
        <v>3.3069807663486044</v>
      </c>
      <c r="K20" s="45">
        <v>35.925246540440632</v>
      </c>
      <c r="L20" s="45">
        <v>0.27734645551281417</v>
      </c>
      <c r="M20" s="45">
        <v>1.651099465454364</v>
      </c>
      <c r="N20" s="45">
        <v>0.54417287305790085</v>
      </c>
      <c r="O20" s="45">
        <v>1.0656661837438179</v>
      </c>
    </row>
    <row r="21" spans="1:15" x14ac:dyDescent="0.25">
      <c r="A21" s="43" t="s">
        <v>10</v>
      </c>
      <c r="B21" s="38" t="s">
        <v>41</v>
      </c>
      <c r="C21" s="41" t="s">
        <v>123</v>
      </c>
      <c r="D21" s="40">
        <v>31.939819953138521</v>
      </c>
      <c r="E21" s="40">
        <v>24.07246370945861</v>
      </c>
      <c r="F21" s="40">
        <v>0.22122961524232321</v>
      </c>
      <c r="G21" s="40">
        <v>3.7166575360710299</v>
      </c>
      <c r="H21" s="40">
        <v>1.1356453582439257</v>
      </c>
      <c r="I21" s="40">
        <v>3.7273838204464151E-2</v>
      </c>
      <c r="J21" s="40">
        <v>9.3278450499445</v>
      </c>
      <c r="K21" s="40">
        <v>27.419064434578846</v>
      </c>
      <c r="L21" s="40">
        <v>0.20111783203847566</v>
      </c>
      <c r="M21" s="40">
        <v>1.5667079115797253</v>
      </c>
      <c r="N21" s="40">
        <v>2.6949789493155737E-2</v>
      </c>
      <c r="O21" s="40">
        <v>0.27217946602540372</v>
      </c>
    </row>
    <row r="22" spans="1:15" x14ac:dyDescent="0.25">
      <c r="A22" s="43" t="s">
        <v>10</v>
      </c>
      <c r="B22" s="38" t="s">
        <v>41</v>
      </c>
      <c r="C22" s="41" t="s">
        <v>124</v>
      </c>
      <c r="D22" s="40">
        <v>34.815779007123005</v>
      </c>
      <c r="E22" s="40">
        <v>17.889020722421076</v>
      </c>
      <c r="F22" s="40">
        <v>0.1755280702896192</v>
      </c>
      <c r="G22" s="40">
        <v>2.9175088447770894</v>
      </c>
      <c r="H22" s="40">
        <v>0.96411373901724651</v>
      </c>
      <c r="I22" s="40">
        <v>2.7877987634233634E-2</v>
      </c>
      <c r="J22" s="40">
        <v>6.6158594728278528</v>
      </c>
      <c r="K22" s="40">
        <v>34.757139212495915</v>
      </c>
      <c r="L22" s="40">
        <v>0.16326691832085902</v>
      </c>
      <c r="M22" s="40">
        <v>1.0822079921900416</v>
      </c>
      <c r="N22" s="40">
        <v>2.4522303937520327E-2</v>
      </c>
      <c r="O22" s="40">
        <v>0.43559355678490058</v>
      </c>
    </row>
    <row r="23" spans="1:15" x14ac:dyDescent="0.25">
      <c r="A23" s="43" t="s">
        <v>10</v>
      </c>
      <c r="B23" s="38" t="s">
        <v>41</v>
      </c>
      <c r="C23" s="41" t="s">
        <v>125</v>
      </c>
      <c r="D23" s="40">
        <v>34.941986234021613</v>
      </c>
      <c r="E23" s="40">
        <v>19.570842782300893</v>
      </c>
      <c r="F23" s="40">
        <v>0.15844228672566379</v>
      </c>
      <c r="G23" s="40">
        <v>2.4925676814159301</v>
      </c>
      <c r="H23" s="40">
        <v>0.864991833628319</v>
      </c>
      <c r="I23" s="40">
        <v>2.9691826902654882E-2</v>
      </c>
      <c r="J23" s="40">
        <v>8.7156139185840757</v>
      </c>
      <c r="K23" s="40">
        <v>31.63049065486727</v>
      </c>
      <c r="L23" s="40">
        <v>8.5017812389380568E-2</v>
      </c>
      <c r="M23" s="40">
        <v>0.94614520000000046</v>
      </c>
      <c r="N23" s="40">
        <v>1.5457784070796466E-2</v>
      </c>
      <c r="O23" s="40">
        <v>0.3349186548672568</v>
      </c>
    </row>
    <row r="24" spans="1:15" x14ac:dyDescent="0.25">
      <c r="A24" s="43" t="s">
        <v>10</v>
      </c>
      <c r="B24" s="38" t="s">
        <v>41</v>
      </c>
      <c r="C24" s="39" t="s">
        <v>126</v>
      </c>
      <c r="D24" s="40">
        <v>39.942332127846782</v>
      </c>
      <c r="E24" s="40">
        <v>7.2905204183364232</v>
      </c>
      <c r="F24" s="40">
        <v>6.6063434659368536E-2</v>
      </c>
      <c r="G24" s="40">
        <v>0.93810077216303334</v>
      </c>
      <c r="H24" s="40">
        <v>0.34292928354999486</v>
      </c>
      <c r="I24" s="40">
        <v>1.7176493011435822E-2</v>
      </c>
      <c r="J24" s="40">
        <v>2.7854746359104663</v>
      </c>
      <c r="K24" s="40">
        <v>47.926018961978265</v>
      </c>
      <c r="L24" s="40">
        <v>3.8436907438178063E-2</v>
      </c>
      <c r="M24" s="40">
        <v>0.32130852311601976</v>
      </c>
      <c r="N24" s="40">
        <v>8.588246505717911E-3</v>
      </c>
      <c r="O24" s="40">
        <v>0.14233667285700313</v>
      </c>
    </row>
    <row r="25" spans="1:15" x14ac:dyDescent="0.25">
      <c r="A25" s="43" t="s">
        <v>10</v>
      </c>
      <c r="B25" s="38" t="s">
        <v>41</v>
      </c>
      <c r="C25" s="39" t="s">
        <v>127</v>
      </c>
      <c r="D25" s="40">
        <v>33.922049100744395</v>
      </c>
      <c r="E25" s="40">
        <v>19.376169698090521</v>
      </c>
      <c r="F25" s="40">
        <v>0.17114189282907205</v>
      </c>
      <c r="G25" s="40">
        <v>2.5030327800638026</v>
      </c>
      <c r="H25" s="40">
        <v>0.76782578944935009</v>
      </c>
      <c r="I25" s="40">
        <v>2.425060798002681E-2</v>
      </c>
      <c r="J25" s="40">
        <v>5.6542902584493024</v>
      </c>
      <c r="K25" s="40">
        <v>35.873719543205873</v>
      </c>
      <c r="L25" s="40">
        <v>0.14404993296037724</v>
      </c>
      <c r="M25" s="40">
        <v>0.77905904110222368</v>
      </c>
      <c r="N25" s="40">
        <v>1.4537149197836233E-2</v>
      </c>
      <c r="O25" s="40">
        <v>0.24911387489019365</v>
      </c>
    </row>
    <row r="26" spans="1:15" x14ac:dyDescent="0.25">
      <c r="A26" s="43" t="s">
        <v>10</v>
      </c>
      <c r="B26" s="38" t="s">
        <v>41</v>
      </c>
      <c r="C26" s="39" t="s">
        <v>128</v>
      </c>
      <c r="D26" s="40">
        <v>33.429592959295924</v>
      </c>
      <c r="E26" s="40">
        <v>20.65365518151815</v>
      </c>
      <c r="F26" s="40">
        <v>0.17042024202420242</v>
      </c>
      <c r="G26" s="40">
        <v>2.6348567106710674</v>
      </c>
      <c r="H26" s="40">
        <v>0.86741240374037398</v>
      </c>
      <c r="I26" s="40">
        <v>2.5829317931793182E-2</v>
      </c>
      <c r="J26" s="40">
        <v>6.9985468921892187</v>
      </c>
      <c r="K26" s="40">
        <v>33.425001375137512</v>
      </c>
      <c r="L26" s="40">
        <v>0.1111725797579758</v>
      </c>
      <c r="M26" s="40">
        <v>0.91534309680968096</v>
      </c>
      <c r="N26" s="40">
        <v>1.2714947744774477E-2</v>
      </c>
      <c r="O26" s="40">
        <v>0.2862527502750275</v>
      </c>
    </row>
    <row r="27" spans="1:15" x14ac:dyDescent="0.25">
      <c r="A27" s="43" t="s">
        <v>10</v>
      </c>
      <c r="B27" s="43" t="s">
        <v>59</v>
      </c>
      <c r="C27" s="44" t="s">
        <v>129</v>
      </c>
      <c r="D27" s="45">
        <v>28.727699530516439</v>
      </c>
      <c r="E27" s="45">
        <v>24.254854753521126</v>
      </c>
      <c r="F27" s="45">
        <v>0.39442803802816906</v>
      </c>
      <c r="G27" s="45">
        <v>6.1224545366197169</v>
      </c>
      <c r="H27" s="45">
        <v>2.9959596591549298</v>
      </c>
      <c r="I27" s="45">
        <v>0.16447437507042253</v>
      </c>
      <c r="J27" s="45">
        <v>8.1030618760563371</v>
      </c>
      <c r="K27" s="45">
        <v>24.844027225352111</v>
      </c>
      <c r="L27" s="45">
        <v>0.19756681690140845</v>
      </c>
      <c r="M27" s="45">
        <v>2.3348164183098592</v>
      </c>
      <c r="N27" s="45">
        <v>0.82385362647887317</v>
      </c>
      <c r="O27" s="45">
        <v>0.91374652816901392</v>
      </c>
    </row>
    <row r="28" spans="1:15" x14ac:dyDescent="0.25">
      <c r="A28" s="43" t="s">
        <v>10</v>
      </c>
      <c r="B28" s="43" t="s">
        <v>59</v>
      </c>
      <c r="C28" s="44" t="s">
        <v>130</v>
      </c>
      <c r="D28" s="45">
        <v>33.729561884430645</v>
      </c>
      <c r="E28" s="45">
        <v>13.205710203289506</v>
      </c>
      <c r="F28" s="45">
        <v>0.25712929988840916</v>
      </c>
      <c r="G28" s="45">
        <v>3.737652709718112</v>
      </c>
      <c r="H28" s="45">
        <v>3.341355489787007</v>
      </c>
      <c r="I28" s="45">
        <v>0.13565558682257048</v>
      </c>
      <c r="J28" s="45">
        <v>3.8059112609771488</v>
      </c>
      <c r="K28" s="45">
        <v>38.701935859492508</v>
      </c>
      <c r="L28" s="45">
        <v>0.20742647130173211</v>
      </c>
      <c r="M28" s="45">
        <v>1.0755692106156907</v>
      </c>
      <c r="N28" s="45">
        <v>1.3246797874921159</v>
      </c>
      <c r="O28" s="45">
        <v>0.37177715782834414</v>
      </c>
    </row>
    <row r="29" spans="1:15" x14ac:dyDescent="0.25">
      <c r="A29" s="43" t="s">
        <v>10</v>
      </c>
      <c r="B29" s="43" t="s">
        <v>59</v>
      </c>
      <c r="C29" s="46" t="s">
        <v>131</v>
      </c>
      <c r="D29" s="47">
        <v>30.281869616188438</v>
      </c>
      <c r="E29" s="47">
        <v>22.334900249757872</v>
      </c>
      <c r="F29" s="47">
        <v>0.35904837147662955</v>
      </c>
      <c r="G29" s="47">
        <v>5.3487749630460231</v>
      </c>
      <c r="H29" s="47">
        <v>2.0176426933075065</v>
      </c>
      <c r="I29" s="47">
        <v>8.3313165808654818E-2</v>
      </c>
      <c r="J29" s="47">
        <v>3.1359215046638442</v>
      </c>
      <c r="K29" s="47">
        <v>33.799349610071843</v>
      </c>
      <c r="L29" s="47">
        <v>0.29699923543503726</v>
      </c>
      <c r="M29" s="47">
        <v>1.797333401294662</v>
      </c>
      <c r="N29" s="47">
        <v>0.51898176257709328</v>
      </c>
      <c r="O29" s="47">
        <v>0.71879392425709709</v>
      </c>
    </row>
    <row r="30" spans="1:15" x14ac:dyDescent="0.25">
      <c r="A30" s="43" t="s">
        <v>10</v>
      </c>
      <c r="B30" s="43" t="s">
        <v>59</v>
      </c>
      <c r="C30" s="46" t="s">
        <v>132</v>
      </c>
      <c r="D30" s="47">
        <v>28.895653514180029</v>
      </c>
      <c r="E30" s="47">
        <v>25.119850183030209</v>
      </c>
      <c r="F30" s="47">
        <v>0.37801203722256471</v>
      </c>
      <c r="G30" s="47">
        <v>5.808855365289765</v>
      </c>
      <c r="H30" s="47">
        <v>1.9724203506473488</v>
      </c>
      <c r="I30" s="47">
        <v>6.2438859779593091E-2</v>
      </c>
      <c r="J30" s="47">
        <v>2.4489830120992604</v>
      </c>
      <c r="K30" s="47">
        <v>32.261250774506777</v>
      </c>
      <c r="L30" s="47">
        <v>0.15627313270653512</v>
      </c>
      <c r="M30" s="47">
        <v>2.3616953163532672</v>
      </c>
      <c r="N30" s="47">
        <v>0.27150696975184951</v>
      </c>
      <c r="O30" s="47">
        <v>0.69126223566584455</v>
      </c>
    </row>
    <row r="31" spans="1:15" x14ac:dyDescent="0.25">
      <c r="A31" s="43" t="s">
        <v>10</v>
      </c>
      <c r="B31" s="38" t="s">
        <v>26</v>
      </c>
      <c r="C31" s="39" t="s">
        <v>133</v>
      </c>
      <c r="D31" s="40">
        <v>34.532064257719981</v>
      </c>
      <c r="E31" s="40">
        <v>14.391161634867995</v>
      </c>
      <c r="F31" s="40">
        <v>0.1826555407209613</v>
      </c>
      <c r="G31" s="40">
        <v>3.2688140316120418</v>
      </c>
      <c r="H31" s="40">
        <v>1.7460298462466082</v>
      </c>
      <c r="I31" s="40">
        <v>4.1244799517636418E-2</v>
      </c>
      <c r="J31" s="40">
        <v>3.7133413153021229</v>
      </c>
      <c r="K31" s="40">
        <v>39.693209440544379</v>
      </c>
      <c r="L31" s="40">
        <v>0.19051169301003487</v>
      </c>
      <c r="M31" s="40">
        <v>1.1070627934019552</v>
      </c>
      <c r="N31" s="40">
        <v>0.10370121021577157</v>
      </c>
      <c r="O31" s="40">
        <v>1.2798981437615746</v>
      </c>
    </row>
    <row r="32" spans="1:15" x14ac:dyDescent="0.25">
      <c r="A32" s="43" t="s">
        <v>10</v>
      </c>
      <c r="B32" s="38" t="s">
        <v>26</v>
      </c>
      <c r="C32" s="39" t="s">
        <v>134</v>
      </c>
      <c r="D32" s="40">
        <v>35.919457571399228</v>
      </c>
      <c r="E32" s="40">
        <v>9.8305960139716433</v>
      </c>
      <c r="F32" s="40">
        <v>0.12880189028148756</v>
      </c>
      <c r="G32" s="40">
        <v>2.3126667762482018</v>
      </c>
      <c r="H32" s="40">
        <v>1.8025856585165398</v>
      </c>
      <c r="I32" s="40">
        <v>4.216499691801931E-2</v>
      </c>
      <c r="J32" s="40">
        <v>1.9916232586809122</v>
      </c>
      <c r="K32" s="40">
        <v>44.64491391000616</v>
      </c>
      <c r="L32" s="40">
        <v>0.2326123690158208</v>
      </c>
      <c r="M32" s="40">
        <v>0.66643764125744809</v>
      </c>
      <c r="N32" s="40">
        <v>0.1741068337785083</v>
      </c>
      <c r="O32" s="40">
        <v>2.3293277172796381</v>
      </c>
    </row>
    <row r="33" spans="1:15" x14ac:dyDescent="0.25">
      <c r="A33" s="43" t="s">
        <v>10</v>
      </c>
      <c r="B33" s="43" t="s">
        <v>37</v>
      </c>
      <c r="C33" s="46" t="s">
        <v>135</v>
      </c>
      <c r="D33" s="47">
        <v>30.253113700281226</v>
      </c>
      <c r="E33" s="47">
        <v>18.432009642426678</v>
      </c>
      <c r="F33" s="47">
        <v>0.36686862193652076</v>
      </c>
      <c r="G33" s="47">
        <v>5.6920433909200483</v>
      </c>
      <c r="H33" s="47">
        <v>3.594057051024508</v>
      </c>
      <c r="I33" s="47">
        <v>0.14019124146243472</v>
      </c>
      <c r="J33" s="47">
        <v>8.2726781840096439</v>
      </c>
      <c r="K33" s="47">
        <v>28.840337484933713</v>
      </c>
      <c r="L33" s="47">
        <v>0.17297227802330253</v>
      </c>
      <c r="M33" s="47">
        <v>2.3260586580956208</v>
      </c>
      <c r="N33" s="47">
        <v>2.4030592205705101</v>
      </c>
      <c r="O33" s="47">
        <v>0.22249256729610287</v>
      </c>
    </row>
    <row r="34" spans="1:15" x14ac:dyDescent="0.25">
      <c r="A34" s="43" t="s">
        <v>10</v>
      </c>
      <c r="B34" s="43" t="s">
        <v>37</v>
      </c>
      <c r="C34" s="46" t="s">
        <v>136</v>
      </c>
      <c r="D34" s="47">
        <v>29.954178485708017</v>
      </c>
      <c r="E34" s="47">
        <v>19.454526467379456</v>
      </c>
      <c r="F34" s="47">
        <v>0.4006620990617501</v>
      </c>
      <c r="G34" s="47">
        <v>6.0673690595679721</v>
      </c>
      <c r="H34" s="47">
        <v>3.5912492690377498</v>
      </c>
      <c r="I34" s="47">
        <v>0.13651930613135507</v>
      </c>
      <c r="J34" s="47">
        <v>2.8802841806676867</v>
      </c>
      <c r="K34" s="47">
        <v>34.385493781365938</v>
      </c>
      <c r="L34" s="47">
        <v>0.2514644992363082</v>
      </c>
      <c r="M34" s="47">
        <v>2.2183511673576271</v>
      </c>
      <c r="N34" s="47">
        <v>1.116250211651757</v>
      </c>
      <c r="O34" s="47">
        <v>0.16460768055858616</v>
      </c>
    </row>
    <row r="35" spans="1:15" x14ac:dyDescent="0.25">
      <c r="A35" s="43" t="s">
        <v>10</v>
      </c>
      <c r="B35" s="38" t="s">
        <v>49</v>
      </c>
      <c r="C35" s="41" t="s">
        <v>137</v>
      </c>
      <c r="D35" s="40">
        <v>35.944555699532735</v>
      </c>
      <c r="E35" s="40">
        <v>13.930348854988805</v>
      </c>
      <c r="F35" s="40">
        <v>0.22575700789256678</v>
      </c>
      <c r="G35" s="40">
        <v>3.8017226469548819</v>
      </c>
      <c r="H35" s="40">
        <v>1.4097130015313932</v>
      </c>
      <c r="I35" s="40">
        <v>2.0165934974673103E-2</v>
      </c>
      <c r="J35" s="40">
        <v>5.2926067075038272</v>
      </c>
      <c r="K35" s="40">
        <v>37.230881835316289</v>
      </c>
      <c r="L35" s="40">
        <v>0.14775669336788783</v>
      </c>
      <c r="M35" s="40">
        <v>1.2156634385675578</v>
      </c>
      <c r="N35" s="40">
        <v>1.2682977971492516E-2</v>
      </c>
      <c r="O35" s="40">
        <v>0.46609944045234997</v>
      </c>
    </row>
    <row r="36" spans="1:15" x14ac:dyDescent="0.25">
      <c r="A36" s="43" t="s">
        <v>10</v>
      </c>
      <c r="B36" s="38" t="s">
        <v>49</v>
      </c>
      <c r="C36" s="41" t="s">
        <v>138</v>
      </c>
      <c r="D36" s="40">
        <v>34.582289510946559</v>
      </c>
      <c r="E36" s="40">
        <v>15.511095207493728</v>
      </c>
      <c r="F36" s="40">
        <v>0.25710795664960229</v>
      </c>
      <c r="G36" s="40">
        <v>4.1944396775950308</v>
      </c>
      <c r="H36" s="40">
        <v>1.6357273292669634</v>
      </c>
      <c r="I36" s="40">
        <v>1.9397005337109238E-2</v>
      </c>
      <c r="J36" s="40">
        <v>5.5763135813092228</v>
      </c>
      <c r="K36" s="40">
        <v>35.956059557782361</v>
      </c>
      <c r="L36" s="40">
        <v>0.2219590208038339</v>
      </c>
      <c r="M36" s="40">
        <v>1.3382631870166641</v>
      </c>
      <c r="N36" s="40">
        <v>9.4381401808081872E-3</v>
      </c>
      <c r="O36" s="40">
        <v>0.66132071887593913</v>
      </c>
    </row>
    <row r="37" spans="1:15" x14ac:dyDescent="0.25">
      <c r="A37" s="43" t="s">
        <v>10</v>
      </c>
      <c r="B37" s="43" t="s">
        <v>70</v>
      </c>
      <c r="C37" s="50" t="s">
        <v>139</v>
      </c>
      <c r="D37" s="45">
        <v>26.025724874645729</v>
      </c>
      <c r="E37" s="45">
        <v>28.270031174187928</v>
      </c>
      <c r="F37" s="45">
        <v>0.43645931938085897</v>
      </c>
      <c r="G37" s="45">
        <v>7.1808123413996086</v>
      </c>
      <c r="H37" s="45">
        <v>3.0428282432962726</v>
      </c>
      <c r="I37" s="45">
        <v>2.4919714061478093E-2</v>
      </c>
      <c r="J37" s="45">
        <v>6.3363109204272945</v>
      </c>
      <c r="K37" s="45">
        <v>24.242072714192286</v>
      </c>
      <c r="L37" s="45">
        <v>0.26741330586439938</v>
      </c>
      <c r="M37" s="45">
        <v>2.8898124551994773</v>
      </c>
      <c r="N37" s="45">
        <v>1.4062879572705475E-2</v>
      </c>
      <c r="O37" s="45">
        <v>1.2795034471332027</v>
      </c>
    </row>
    <row r="38" spans="1:15" x14ac:dyDescent="0.25">
      <c r="A38" s="43" t="s">
        <v>10</v>
      </c>
      <c r="B38" s="43" t="s">
        <v>70</v>
      </c>
      <c r="C38" s="50" t="s">
        <v>140</v>
      </c>
      <c r="D38" s="45">
        <v>26.747329128587982</v>
      </c>
      <c r="E38" s="45">
        <v>27.135587542798298</v>
      </c>
      <c r="F38" s="45">
        <v>0.42496804479340966</v>
      </c>
      <c r="G38" s="45">
        <v>6.8930397026644359</v>
      </c>
      <c r="H38" s="45">
        <v>2.9015309679495429</v>
      </c>
      <c r="I38" s="45">
        <v>2.5382050456944267E-2</v>
      </c>
      <c r="J38" s="45">
        <v>6.159135843737932</v>
      </c>
      <c r="K38" s="45">
        <v>25.51983873085339</v>
      </c>
      <c r="L38" s="45">
        <v>0.20958321663019691</v>
      </c>
      <c r="M38" s="45">
        <v>2.8710725074012098</v>
      </c>
      <c r="N38" s="45">
        <v>1.9290358347277641E-2</v>
      </c>
      <c r="O38" s="45">
        <v>1.206735198867293</v>
      </c>
    </row>
    <row r="39" spans="1:15" x14ac:dyDescent="0.25">
      <c r="A39" s="43" t="s">
        <v>10</v>
      </c>
      <c r="B39" s="38" t="s">
        <v>22</v>
      </c>
      <c r="C39" s="39" t="s">
        <v>141</v>
      </c>
      <c r="D39" s="40">
        <v>30.9280581767812</v>
      </c>
      <c r="E39" s="40">
        <v>17.973900701237998</v>
      </c>
      <c r="F39" s="40">
        <v>0.32671028482382497</v>
      </c>
      <c r="G39" s="40">
        <v>4.9441695957060023</v>
      </c>
      <c r="H39" s="40">
        <v>3.2864429919487508</v>
      </c>
      <c r="I39" s="40">
        <v>0.13579543762444818</v>
      </c>
      <c r="J39" s="40">
        <v>3.9205234178858994</v>
      </c>
      <c r="K39" s="40">
        <v>34.874423426543174</v>
      </c>
      <c r="L39" s="40">
        <v>0.27905064496580401</v>
      </c>
      <c r="M39" s="40">
        <v>1.6943347329235572</v>
      </c>
      <c r="N39" s="40">
        <v>1.4202572677690251</v>
      </c>
      <c r="O39" s="40">
        <v>0.49939013938187199</v>
      </c>
    </row>
    <row r="40" spans="1:15" x14ac:dyDescent="0.25">
      <c r="A40" s="43" t="s">
        <v>10</v>
      </c>
      <c r="B40" s="43" t="s">
        <v>142</v>
      </c>
      <c r="C40" s="44" t="s">
        <v>143</v>
      </c>
      <c r="D40" s="45">
        <v>36.851487863966753</v>
      </c>
      <c r="E40" s="45">
        <v>13.379906751382725</v>
      </c>
      <c r="F40" s="45">
        <v>0.16544910179640712</v>
      </c>
      <c r="G40" s="45">
        <v>2.3232337614846634</v>
      </c>
      <c r="H40" s="45">
        <v>1.1606696530602911</v>
      </c>
      <c r="I40" s="45">
        <v>2.3554395026740404E-2</v>
      </c>
      <c r="J40" s="45">
        <v>6.614806646249483</v>
      </c>
      <c r="K40" s="45">
        <v>38.25536865200894</v>
      </c>
      <c r="L40" s="45">
        <v>0.13576930109247148</v>
      </c>
      <c r="M40" s="45">
        <v>0.69589660373908646</v>
      </c>
      <c r="N40" s="45">
        <v>2.1596791150523372E-2</v>
      </c>
      <c r="O40" s="45">
        <v>0.39973008182109049</v>
      </c>
    </row>
    <row r="41" spans="1:15" x14ac:dyDescent="0.25">
      <c r="A41" s="43" t="s">
        <v>10</v>
      </c>
      <c r="B41" s="38" t="s">
        <v>66</v>
      </c>
      <c r="C41" s="41" t="s">
        <v>144</v>
      </c>
      <c r="D41" s="40">
        <v>34.501313448012866</v>
      </c>
      <c r="E41" s="40">
        <v>16.660291760444036</v>
      </c>
      <c r="F41" s="40">
        <v>0.2276013858995001</v>
      </c>
      <c r="G41" s="40">
        <v>4.1007155681721903</v>
      </c>
      <c r="H41" s="40">
        <v>1.8616626179984752</v>
      </c>
      <c r="I41" s="40">
        <v>2.6910135369883917E-2</v>
      </c>
      <c r="J41" s="40">
        <v>6.8591665528345072</v>
      </c>
      <c r="K41" s="40">
        <v>33.640911397339224</v>
      </c>
      <c r="L41" s="40">
        <v>0.19971859503431919</v>
      </c>
      <c r="M41" s="40">
        <v>1.3137333556478268</v>
      </c>
      <c r="N41" s="40">
        <v>2.2241388992458269E-2</v>
      </c>
      <c r="O41" s="40">
        <v>0.43899184687738346</v>
      </c>
    </row>
    <row r="42" spans="1:15" x14ac:dyDescent="0.25">
      <c r="A42" s="43" t="s">
        <v>10</v>
      </c>
      <c r="B42" s="43" t="s">
        <v>74</v>
      </c>
      <c r="C42" s="48" t="s">
        <v>145</v>
      </c>
      <c r="D42" s="47">
        <v>41.450732299159363</v>
      </c>
      <c r="E42" s="47">
        <v>4.9234430505243099</v>
      </c>
      <c r="F42" s="47">
        <v>6.0861963775023835E-2</v>
      </c>
      <c r="G42" s="47">
        <v>1.0149457006673024</v>
      </c>
      <c r="H42" s="47">
        <v>0.54949658722592953</v>
      </c>
      <c r="I42" s="47">
        <v>1.4838726406101052E-2</v>
      </c>
      <c r="J42" s="47">
        <v>4.3664111725452814</v>
      </c>
      <c r="K42" s="47">
        <v>46.794155576739762</v>
      </c>
      <c r="L42" s="47">
        <v>9.6799504289799831E-2</v>
      </c>
      <c r="M42" s="47">
        <v>0.208669590085796</v>
      </c>
      <c r="N42" s="47">
        <v>1.5592255481410871E-2</v>
      </c>
      <c r="O42" s="47">
        <v>0.21968270734032416</v>
      </c>
    </row>
    <row r="43" spans="1:15" ht="15" customHeight="1" x14ac:dyDescent="0.25">
      <c r="A43" s="120" t="s">
        <v>280</v>
      </c>
      <c r="B43" s="38" t="s">
        <v>45</v>
      </c>
      <c r="C43" s="41" t="s">
        <v>147</v>
      </c>
      <c r="D43" s="40">
        <v>41.457203489742952</v>
      </c>
      <c r="E43" s="40">
        <v>6.9687939938693741</v>
      </c>
      <c r="F43" s="40">
        <v>8.3458610705022446E-2</v>
      </c>
      <c r="G43" s="40">
        <v>1.4112619240745115</v>
      </c>
      <c r="H43" s="40">
        <v>1.0501875180381992</v>
      </c>
      <c r="I43" s="40">
        <v>7.2388753312897944E-2</v>
      </c>
      <c r="J43" s="40">
        <v>12.792929958971948</v>
      </c>
      <c r="K43" s="40">
        <v>35.087390917236519</v>
      </c>
      <c r="L43" s="40">
        <v>7.4185431737797736E-2</v>
      </c>
      <c r="M43" s="40">
        <v>0.37150673237444015</v>
      </c>
      <c r="N43" s="40">
        <v>1.2229004763027596E-2</v>
      </c>
      <c r="O43" s="40">
        <v>0.15706446875736865</v>
      </c>
    </row>
    <row r="44" spans="1:15" ht="45" x14ac:dyDescent="0.25">
      <c r="A44" s="120" t="s">
        <v>280</v>
      </c>
      <c r="B44" s="38" t="s">
        <v>45</v>
      </c>
      <c r="C44" s="41" t="s">
        <v>148</v>
      </c>
      <c r="D44" s="40">
        <v>37.567874219953033</v>
      </c>
      <c r="E44" s="40">
        <v>15.311185416565351</v>
      </c>
      <c r="F44" s="40">
        <v>0.15865876124483336</v>
      </c>
      <c r="G44" s="40">
        <v>2.5582187859632044</v>
      </c>
      <c r="H44" s="40">
        <v>1.2096193153821211</v>
      </c>
      <c r="I44" s="40">
        <v>6.7583712638787541E-2</v>
      </c>
      <c r="J44" s="40">
        <v>13.675401289002341</v>
      </c>
      <c r="K44" s="40">
        <v>28.386389221168631</v>
      </c>
      <c r="L44" s="40">
        <v>0.15742884836696641</v>
      </c>
      <c r="M44" s="40">
        <v>0.71765416423535078</v>
      </c>
      <c r="N44" s="40">
        <v>1.561989354890995E-2</v>
      </c>
      <c r="O44" s="40">
        <v>0.13406050368749484</v>
      </c>
    </row>
    <row r="45" spans="1:15" ht="45" x14ac:dyDescent="0.25">
      <c r="A45" s="120" t="s">
        <v>280</v>
      </c>
      <c r="B45" s="38" t="s">
        <v>45</v>
      </c>
      <c r="C45" s="41" t="s">
        <v>149</v>
      </c>
      <c r="D45" s="40">
        <v>33.697180186884964</v>
      </c>
      <c r="E45" s="40">
        <v>21.127227776399572</v>
      </c>
      <c r="F45" s="40">
        <v>0.23576288183246508</v>
      </c>
      <c r="G45" s="40">
        <v>3.7904924270238989</v>
      </c>
      <c r="H45" s="40">
        <v>1.4596400024807741</v>
      </c>
      <c r="I45" s="40">
        <v>5.5185494500950977E-2</v>
      </c>
      <c r="J45" s="40">
        <v>9.9601654039527006</v>
      </c>
      <c r="K45" s="40">
        <v>28.160929264863974</v>
      </c>
      <c r="L45" s="40">
        <v>0.16327069378979578</v>
      </c>
      <c r="M45" s="40">
        <v>1.1814267402629621</v>
      </c>
      <c r="N45" s="40">
        <v>2.227012263292814E-2</v>
      </c>
      <c r="O45" s="40">
        <v>0.14302512775986109</v>
      </c>
    </row>
    <row r="46" spans="1:15" ht="45" x14ac:dyDescent="0.25">
      <c r="A46" s="120" t="s">
        <v>280</v>
      </c>
      <c r="B46" s="38" t="s">
        <v>45</v>
      </c>
      <c r="C46" s="39" t="s">
        <v>150</v>
      </c>
      <c r="D46" s="40">
        <v>32.010331467929426</v>
      </c>
      <c r="E46" s="40">
        <v>21.860908494188543</v>
      </c>
      <c r="F46" s="40">
        <v>0.25428136030994397</v>
      </c>
      <c r="G46" s="40">
        <v>4.0005120964270331</v>
      </c>
      <c r="H46" s="40">
        <v>1.476735600516573</v>
      </c>
      <c r="I46" s="40">
        <v>3.6782410675850183E-2</v>
      </c>
      <c r="J46" s="40">
        <v>7.2932517434352109</v>
      </c>
      <c r="K46" s="40">
        <v>30.833314679294009</v>
      </c>
      <c r="L46" s="40">
        <v>0.12238140335772704</v>
      </c>
      <c r="M46" s="40">
        <v>1.4243835557468787</v>
      </c>
      <c r="N46" s="40">
        <v>2.6583960396039597E-2</v>
      </c>
      <c r="O46" s="40">
        <v>8.0227808867843281E-2</v>
      </c>
    </row>
    <row r="47" spans="1:15" ht="45" x14ac:dyDescent="0.25">
      <c r="A47" s="120" t="s">
        <v>280</v>
      </c>
      <c r="B47" s="38" t="s">
        <v>45</v>
      </c>
      <c r="C47" s="39" t="s">
        <v>151</v>
      </c>
      <c r="D47" s="40">
        <v>34.244087337623888</v>
      </c>
      <c r="E47" s="40">
        <v>15.402664982034976</v>
      </c>
      <c r="F47" s="40">
        <v>0.23014569431831636</v>
      </c>
      <c r="G47" s="40">
        <v>3.6875915821060516</v>
      </c>
      <c r="H47" s="40">
        <v>1.6991327831957985</v>
      </c>
      <c r="I47" s="40">
        <v>3.8993256208789032E-2</v>
      </c>
      <c r="J47" s="40">
        <v>2.1863840960240055</v>
      </c>
      <c r="K47" s="40">
        <v>40.374130374698929</v>
      </c>
      <c r="L47" s="40">
        <v>0.11967576104552451</v>
      </c>
      <c r="M47" s="40">
        <v>1.073136494649978</v>
      </c>
      <c r="N47" s="40">
        <v>2.8077774706834598E-2</v>
      </c>
      <c r="O47" s="40">
        <v>0.12033332017214826</v>
      </c>
    </row>
    <row r="48" spans="1:15" ht="45" x14ac:dyDescent="0.25">
      <c r="A48" s="120" t="s">
        <v>280</v>
      </c>
      <c r="B48" s="43" t="s">
        <v>63</v>
      </c>
      <c r="C48" s="46" t="s">
        <v>152</v>
      </c>
      <c r="D48" s="47">
        <v>38.13779440898081</v>
      </c>
      <c r="E48" s="47">
        <v>10.861766057671149</v>
      </c>
      <c r="F48" s="47">
        <v>0.15589275808936837</v>
      </c>
      <c r="G48" s="47">
        <v>2.635948580233328</v>
      </c>
      <c r="H48" s="47">
        <v>1.1747632841734545</v>
      </c>
      <c r="I48" s="47">
        <v>1.6888382126348241E-2</v>
      </c>
      <c r="J48" s="47">
        <v>10.457187233105884</v>
      </c>
      <c r="K48" s="47">
        <v>35.205781201849021</v>
      </c>
      <c r="L48" s="47">
        <v>7.4853268765133221E-2</v>
      </c>
      <c r="M48" s="47">
        <v>1.012065683469074</v>
      </c>
      <c r="N48" s="47">
        <v>1.2805476557340973E-2</v>
      </c>
      <c r="O48" s="47">
        <v>0.78688725511776414</v>
      </c>
    </row>
    <row r="49" spans="1:15" ht="45" x14ac:dyDescent="0.25">
      <c r="A49" s="120" t="s">
        <v>280</v>
      </c>
      <c r="B49" s="43" t="s">
        <v>63</v>
      </c>
      <c r="C49" s="46" t="s">
        <v>153</v>
      </c>
      <c r="D49" s="47">
        <v>36.37201894463302</v>
      </c>
      <c r="E49" s="47">
        <v>13.769731380191967</v>
      </c>
      <c r="F49" s="47">
        <v>0.20106442013495965</v>
      </c>
      <c r="G49" s="47">
        <v>3.5071743157718274</v>
      </c>
      <c r="H49" s="47">
        <v>1.4233579362085593</v>
      </c>
      <c r="I49" s="47">
        <v>1.9470162202942294E-2</v>
      </c>
      <c r="J49" s="47">
        <v>9.9603241544071466</v>
      </c>
      <c r="K49" s="47">
        <v>33.474680833228568</v>
      </c>
      <c r="L49" s="47">
        <v>0.11071268703633853</v>
      </c>
      <c r="M49" s="47">
        <v>1.1376683012699615</v>
      </c>
      <c r="N49" s="47">
        <v>2.0042814032440598E-2</v>
      </c>
      <c r="O49" s="47">
        <v>0.41358187685988534</v>
      </c>
    </row>
    <row r="50" spans="1:15" ht="45" x14ac:dyDescent="0.25">
      <c r="A50" s="120" t="s">
        <v>280</v>
      </c>
      <c r="B50" s="43" t="s">
        <v>63</v>
      </c>
      <c r="C50" s="46" t="s">
        <v>154</v>
      </c>
      <c r="D50" s="47">
        <v>37.386723806972974</v>
      </c>
      <c r="E50" s="47">
        <v>12.545196018034897</v>
      </c>
      <c r="F50" s="47">
        <v>0.17844783715012702</v>
      </c>
      <c r="G50" s="47">
        <v>3.1325422079371426</v>
      </c>
      <c r="H50" s="47">
        <v>1.3011038792911016</v>
      </c>
      <c r="I50" s="47">
        <v>1.9660568724610486E-2</v>
      </c>
      <c r="J50" s="47">
        <v>10.664919333958295</v>
      </c>
      <c r="K50" s="47">
        <v>33.529409401365974</v>
      </c>
      <c r="L50" s="47">
        <v>0.14025373867238056</v>
      </c>
      <c r="M50" s="47">
        <v>0.96048765680103476</v>
      </c>
      <c r="N50" s="47">
        <v>1.9472728896031407E-2</v>
      </c>
      <c r="O50" s="47">
        <v>0.4357884023034681</v>
      </c>
    </row>
    <row r="51" spans="1:15" x14ac:dyDescent="0.25">
      <c r="A51" s="43" t="s">
        <v>78</v>
      </c>
      <c r="B51" s="38" t="s">
        <v>79</v>
      </c>
      <c r="C51" s="41" t="s">
        <v>155</v>
      </c>
      <c r="D51" s="40">
        <v>35.789928679489961</v>
      </c>
      <c r="E51" s="40">
        <v>17.60035296736546</v>
      </c>
      <c r="F51" s="40">
        <v>0.25045780419278146</v>
      </c>
      <c r="G51" s="40">
        <v>4.2217319267343845</v>
      </c>
      <c r="H51" s="40">
        <v>1.5982496747352497</v>
      </c>
      <c r="I51" s="40">
        <v>6.1855488005186934E-2</v>
      </c>
      <c r="J51" s="40">
        <v>15.738996104387292</v>
      </c>
      <c r="K51" s="40">
        <v>22.838462902528633</v>
      </c>
      <c r="L51" s="40">
        <v>0.15685236222174193</v>
      </c>
      <c r="M51" s="40">
        <v>1.6703511638210502</v>
      </c>
      <c r="N51" s="40">
        <v>1.2712630970391181E-2</v>
      </c>
      <c r="O51" s="40">
        <v>0.16317705424681217</v>
      </c>
    </row>
    <row r="52" spans="1:15" x14ac:dyDescent="0.25">
      <c r="A52" s="43" t="s">
        <v>78</v>
      </c>
      <c r="B52" s="38" t="s">
        <v>79</v>
      </c>
      <c r="C52" s="41" t="s">
        <v>156</v>
      </c>
      <c r="D52" s="40">
        <v>31.457205683355877</v>
      </c>
      <c r="E52" s="40">
        <v>25.025656205810218</v>
      </c>
      <c r="F52" s="40">
        <v>0.31596857324086602</v>
      </c>
      <c r="G52" s="40">
        <v>5.2668180338717869</v>
      </c>
      <c r="H52" s="40">
        <v>1.8445003036197565</v>
      </c>
      <c r="I52" s="40">
        <v>6.4071405129397838E-2</v>
      </c>
      <c r="J52" s="40">
        <v>13.781090848274696</v>
      </c>
      <c r="K52" s="40">
        <v>19.613006522750339</v>
      </c>
      <c r="L52" s="40">
        <v>0.19106646629736129</v>
      </c>
      <c r="M52" s="40">
        <v>2.2414864597428958</v>
      </c>
      <c r="N52" s="40">
        <v>1.4920738180818675E-2</v>
      </c>
      <c r="O52" s="40">
        <v>0.16811148448071719</v>
      </c>
    </row>
    <row r="53" spans="1:15" x14ac:dyDescent="0.25">
      <c r="A53" s="43" t="s">
        <v>78</v>
      </c>
      <c r="B53" s="38" t="s">
        <v>79</v>
      </c>
      <c r="C53" s="39" t="s">
        <v>157</v>
      </c>
      <c r="D53" s="40">
        <v>28.919860627177673</v>
      </c>
      <c r="E53" s="40">
        <v>28.986367108013948</v>
      </c>
      <c r="F53" s="40">
        <v>0.30493379790940778</v>
      </c>
      <c r="G53" s="40">
        <v>4.9571289198606294</v>
      </c>
      <c r="H53" s="40">
        <v>1.7229825783972132</v>
      </c>
      <c r="I53" s="40">
        <v>6.9800696864111528E-2</v>
      </c>
      <c r="J53" s="40">
        <v>13.028278745644604</v>
      </c>
      <c r="K53" s="40">
        <v>18.871777003484329</v>
      </c>
      <c r="L53" s="40">
        <v>0.19049477351916386</v>
      </c>
      <c r="M53" s="40">
        <v>2.2212543554006978</v>
      </c>
      <c r="N53" s="40">
        <v>3.0422299651567956E-2</v>
      </c>
      <c r="O53" s="40">
        <v>0.30848780487804889</v>
      </c>
    </row>
    <row r="54" spans="1:15" x14ac:dyDescent="0.25">
      <c r="A54" s="43" t="s">
        <v>78</v>
      </c>
      <c r="B54" s="38" t="s">
        <v>79</v>
      </c>
      <c r="C54" s="39" t="s">
        <v>158</v>
      </c>
      <c r="D54" s="40">
        <v>30.311377834620519</v>
      </c>
      <c r="E54" s="40">
        <v>26.474094300752608</v>
      </c>
      <c r="F54" s="40">
        <v>0.29269221309459381</v>
      </c>
      <c r="G54" s="40">
        <v>4.8231495400659137</v>
      </c>
      <c r="H54" s="40">
        <v>1.8983180677849372</v>
      </c>
      <c r="I54" s="40">
        <v>6.8294849722071893E-2</v>
      </c>
      <c r="J54" s="40">
        <v>13.807406709626635</v>
      </c>
      <c r="K54" s="40">
        <v>19.721880072802392</v>
      </c>
      <c r="L54" s="40">
        <v>0.18955305228983219</v>
      </c>
      <c r="M54" s="40">
        <v>2.1004150720645374</v>
      </c>
      <c r="N54" s="40">
        <v>1.993094593929853E-2</v>
      </c>
      <c r="O54" s="40">
        <v>0.21533784249102259</v>
      </c>
    </row>
    <row r="55" spans="1:15" x14ac:dyDescent="0.25">
      <c r="A55" s="43" t="s">
        <v>78</v>
      </c>
      <c r="B55" s="43" t="s">
        <v>85</v>
      </c>
      <c r="C55" s="44" t="s">
        <v>159</v>
      </c>
      <c r="D55" s="45">
        <v>39.688041594454035</v>
      </c>
      <c r="E55" s="45">
        <v>11.155402357019073</v>
      </c>
      <c r="F55" s="45">
        <v>0.13733032928942818</v>
      </c>
      <c r="G55" s="45">
        <v>2.3632758405545946</v>
      </c>
      <c r="H55" s="45">
        <v>1.0413221490467945</v>
      </c>
      <c r="I55" s="45">
        <v>4.519959098786832E-2</v>
      </c>
      <c r="J55" s="45">
        <v>17.892350641247848</v>
      </c>
      <c r="K55" s="45">
        <v>26.23009289428078</v>
      </c>
      <c r="L55" s="45">
        <v>0.13971868284228781</v>
      </c>
      <c r="M55" s="45">
        <v>0.71949150779896065</v>
      </c>
      <c r="N55" s="45">
        <v>5.8275826689774747E-2</v>
      </c>
      <c r="O55" s="45">
        <v>0.39049580589254801</v>
      </c>
    </row>
    <row r="56" spans="1:15" x14ac:dyDescent="0.25">
      <c r="A56" s="43" t="s">
        <v>78</v>
      </c>
      <c r="B56" s="43" t="s">
        <v>85</v>
      </c>
      <c r="C56" s="44" t="s">
        <v>160</v>
      </c>
      <c r="D56" s="45">
        <v>38.626099358212493</v>
      </c>
      <c r="E56" s="45">
        <v>12.45340272878536</v>
      </c>
      <c r="F56" s="45">
        <v>0.15979922510102215</v>
      </c>
      <c r="G56" s="45">
        <v>2.7828154028999297</v>
      </c>
      <c r="H56" s="45">
        <v>1.1416834371285955</v>
      </c>
      <c r="I56" s="45">
        <v>4.2106792013311162E-2</v>
      </c>
      <c r="J56" s="45">
        <v>17.583990777275975</v>
      </c>
      <c r="K56" s="45">
        <v>25.507115854528173</v>
      </c>
      <c r="L56" s="45">
        <v>0.12273552650344668</v>
      </c>
      <c r="M56" s="45">
        <v>0.87980714048015241</v>
      </c>
      <c r="N56" s="45">
        <v>7.4309677680057071E-2</v>
      </c>
      <c r="O56" s="45">
        <v>0.67383019253624932</v>
      </c>
    </row>
    <row r="57" spans="1:15" x14ac:dyDescent="0.25">
      <c r="A57" s="43" t="s">
        <v>78</v>
      </c>
      <c r="B57" s="43" t="s">
        <v>85</v>
      </c>
      <c r="C57" s="44" t="s">
        <v>161</v>
      </c>
      <c r="D57" s="45">
        <v>38.461171532150381</v>
      </c>
      <c r="E57" s="45">
        <v>13.121081312249563</v>
      </c>
      <c r="F57" s="45">
        <v>0.18216108614768162</v>
      </c>
      <c r="G57" s="45">
        <v>3.1899513279908396</v>
      </c>
      <c r="H57" s="45">
        <v>1.3049800887235252</v>
      </c>
      <c r="I57" s="45">
        <v>4.2341790927303932E-2</v>
      </c>
      <c r="J57" s="45">
        <v>17.181019366056088</v>
      </c>
      <c r="K57" s="45">
        <v>25.051718603319962</v>
      </c>
      <c r="L57" s="45">
        <v>0.10783448912421288</v>
      </c>
      <c r="M57" s="45">
        <v>0.9991444190040063</v>
      </c>
      <c r="N57" s="45">
        <v>7.6519840870062916E-2</v>
      </c>
      <c r="O57" s="45">
        <v>0.38991001717229518</v>
      </c>
    </row>
    <row r="58" spans="1:15" x14ac:dyDescent="0.25">
      <c r="A58" s="43" t="s">
        <v>78</v>
      </c>
      <c r="B58" s="38" t="s">
        <v>91</v>
      </c>
      <c r="C58" s="41" t="s">
        <v>162</v>
      </c>
      <c r="D58" s="42">
        <v>34.189329637969891</v>
      </c>
      <c r="E58" s="42">
        <v>18.394082366187416</v>
      </c>
      <c r="F58" s="42">
        <v>0.29285748311103399</v>
      </c>
      <c r="G58" s="42">
        <v>5.5267800970032885</v>
      </c>
      <c r="H58" s="42">
        <v>2.0730361164039484</v>
      </c>
      <c r="I58" s="42">
        <v>8.1671041919279375E-2</v>
      </c>
      <c r="J58" s="42">
        <v>14.036099774813781</v>
      </c>
      <c r="K58" s="42">
        <v>23.751070933656671</v>
      </c>
      <c r="L58" s="42">
        <v>0.16650099601593618</v>
      </c>
      <c r="M58" s="42">
        <v>2.1144968387320273</v>
      </c>
      <c r="N58" s="42">
        <v>3.520870864368611E-2</v>
      </c>
      <c r="O58" s="42">
        <v>0.14346726138922564</v>
      </c>
    </row>
    <row r="59" spans="1:15" x14ac:dyDescent="0.25">
      <c r="A59" s="43" t="s">
        <v>78</v>
      </c>
      <c r="B59" s="38" t="s">
        <v>91</v>
      </c>
      <c r="C59" s="41" t="s">
        <v>163</v>
      </c>
      <c r="D59" s="42">
        <v>36.818386660657971</v>
      </c>
      <c r="E59" s="42">
        <v>14.935501577287061</v>
      </c>
      <c r="F59" s="42">
        <v>0.24514465975664707</v>
      </c>
      <c r="G59" s="42">
        <v>4.3045633168093715</v>
      </c>
      <c r="H59" s="42">
        <v>1.7615033799008555</v>
      </c>
      <c r="I59" s="42">
        <v>8.2136097341144632E-2</v>
      </c>
      <c r="J59" s="42">
        <v>15.224873366381248</v>
      </c>
      <c r="K59" s="42">
        <v>25.733871113114006</v>
      </c>
      <c r="L59" s="42">
        <v>0.11625416854438932</v>
      </c>
      <c r="M59" s="42">
        <v>1.4272726453357363</v>
      </c>
      <c r="N59" s="42">
        <v>3.2917620549797195E-2</v>
      </c>
      <c r="O59" s="42">
        <v>0.15795403334835506</v>
      </c>
    </row>
    <row r="60" spans="1:15" x14ac:dyDescent="0.25">
      <c r="A60" s="43" t="s">
        <v>78</v>
      </c>
      <c r="B60" s="38" t="s">
        <v>91</v>
      </c>
      <c r="C60" s="41" t="s">
        <v>164</v>
      </c>
      <c r="D60" s="42">
        <v>36.435584899272087</v>
      </c>
      <c r="E60" s="42">
        <v>15.453144955137962</v>
      </c>
      <c r="F60" s="42">
        <v>0.23900220077873693</v>
      </c>
      <c r="G60" s="42">
        <v>4.3478059928897892</v>
      </c>
      <c r="H60" s="42">
        <v>1.8090432537667165</v>
      </c>
      <c r="I60" s="42">
        <v>6.7441844421872316E-2</v>
      </c>
      <c r="J60" s="42">
        <v>14.868987980362272</v>
      </c>
      <c r="K60" s="42">
        <v>25.749944557304875</v>
      </c>
      <c r="L60" s="42">
        <v>0.17162392077196537</v>
      </c>
      <c r="M60" s="42">
        <v>1.4632528356187566</v>
      </c>
      <c r="N60" s="42">
        <v>4.4367961740308083E-2</v>
      </c>
      <c r="O60" s="42">
        <v>0.21611901134247491</v>
      </c>
    </row>
    <row r="61" spans="1:15" x14ac:dyDescent="0.25">
      <c r="A61" s="43" t="s">
        <v>78</v>
      </c>
      <c r="B61" s="43" t="s">
        <v>82</v>
      </c>
      <c r="C61" s="48" t="s">
        <v>165</v>
      </c>
      <c r="D61" s="47">
        <v>43.491999189791365</v>
      </c>
      <c r="E61" s="47">
        <v>5.1439515677536969</v>
      </c>
      <c r="F61" s="47">
        <v>8.5592668827223023E-2</v>
      </c>
      <c r="G61" s="47">
        <v>1.372839276483695</v>
      </c>
      <c r="H61" s="47">
        <v>0.61313441199108776</v>
      </c>
      <c r="I61" s="47">
        <v>3.1943407778002843E-2</v>
      </c>
      <c r="J61" s="47">
        <v>19.659461228276285</v>
      </c>
      <c r="K61" s="47">
        <v>28.95046151509014</v>
      </c>
      <c r="L61" s="47">
        <v>7.3285226250759575E-2</v>
      </c>
      <c r="M61" s="47">
        <v>0.37146099412598749</v>
      </c>
      <c r="N61" s="47">
        <v>1.4097616042130849E-2</v>
      </c>
      <c r="O61" s="47">
        <v>0.10852926635608671</v>
      </c>
    </row>
    <row r="62" spans="1:15" x14ac:dyDescent="0.25">
      <c r="A62" s="43" t="s">
        <v>78</v>
      </c>
      <c r="B62" s="43" t="s">
        <v>82</v>
      </c>
      <c r="C62" s="48" t="s">
        <v>166</v>
      </c>
      <c r="D62" s="47">
        <v>43.251178930509795</v>
      </c>
      <c r="E62" s="47">
        <v>5.9057817101165622</v>
      </c>
      <c r="F62" s="47">
        <v>7.8092052673725487E-2</v>
      </c>
      <c r="G62" s="47">
        <v>1.2444165228223159</v>
      </c>
      <c r="H62" s="47">
        <v>0.5511388753447819</v>
      </c>
      <c r="I62" s="47">
        <v>2.8821023756561991E-2</v>
      </c>
      <c r="J62" s="47">
        <v>19.820774232582984</v>
      </c>
      <c r="K62" s="47">
        <v>28.500790159266856</v>
      </c>
      <c r="L62" s="47">
        <v>5.5619519530207349E-2</v>
      </c>
      <c r="M62" s="47">
        <v>0.36798773022510928</v>
      </c>
      <c r="N62" s="47">
        <v>1.5112778539015938E-2</v>
      </c>
      <c r="O62" s="47">
        <v>0.10449727911735926</v>
      </c>
    </row>
  </sheetData>
  <mergeCells count="1">
    <mergeCell ref="E1:O1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E985-A4B4-4177-8159-F9BB2EBEDAD9}">
  <dimension ref="A1:S62"/>
  <sheetViews>
    <sheetView zoomScaleNormal="100" workbookViewId="0">
      <selection activeCell="I20" sqref="I20"/>
    </sheetView>
  </sheetViews>
  <sheetFormatPr baseColWidth="10" defaultColWidth="9.140625" defaultRowHeight="15" x14ac:dyDescent="0.25"/>
  <cols>
    <col min="1" max="1" width="3.42578125" style="36" customWidth="1"/>
    <col min="2" max="2" width="12.5703125" style="36" bestFit="1" customWidth="1"/>
    <col min="3" max="9" width="9.140625" style="36"/>
    <col min="10" max="10" width="10.140625" style="36" bestFit="1" customWidth="1"/>
    <col min="11" max="12" width="9.140625" style="52"/>
    <col min="13" max="13" width="9.140625" style="36"/>
    <col min="14" max="14" width="9.140625" style="52"/>
    <col min="15" max="16" width="9.140625" style="36"/>
    <col min="17" max="17" width="11.7109375" style="36" customWidth="1"/>
    <col min="18" max="18" width="21" style="36" customWidth="1"/>
    <col min="19" max="16384" width="9.140625" style="36"/>
  </cols>
  <sheetData>
    <row r="1" spans="1:19" x14ac:dyDescent="0.25">
      <c r="I1" s="36" t="s">
        <v>189</v>
      </c>
      <c r="J1" s="36" t="s">
        <v>190</v>
      </c>
      <c r="M1" s="36" t="s">
        <v>191</v>
      </c>
    </row>
    <row r="2" spans="1:19" x14ac:dyDescent="0.25">
      <c r="B2" s="44" t="s">
        <v>192</v>
      </c>
      <c r="C2" s="53" t="s">
        <v>193</v>
      </c>
      <c r="D2" s="54" t="s">
        <v>194</v>
      </c>
      <c r="E2" s="54" t="s">
        <v>195</v>
      </c>
      <c r="F2" s="54" t="s">
        <v>196</v>
      </c>
      <c r="G2" s="54" t="s">
        <v>197</v>
      </c>
      <c r="H2" s="54" t="s">
        <v>198</v>
      </c>
      <c r="I2" s="53" t="s">
        <v>199</v>
      </c>
      <c r="J2" s="53" t="s">
        <v>200</v>
      </c>
      <c r="K2" s="54" t="s">
        <v>201</v>
      </c>
      <c r="L2" s="54" t="s">
        <v>202</v>
      </c>
      <c r="M2" s="53" t="s">
        <v>203</v>
      </c>
      <c r="N2" s="54" t="s">
        <v>204</v>
      </c>
    </row>
    <row r="3" spans="1:19" x14ac:dyDescent="0.25">
      <c r="A3" s="36" t="s">
        <v>205</v>
      </c>
      <c r="B3" s="55" t="s">
        <v>126</v>
      </c>
      <c r="C3" s="56">
        <v>39.942332127846782</v>
      </c>
      <c r="D3" s="57">
        <v>7.2905204183364232</v>
      </c>
      <c r="E3" s="57">
        <v>6.6063434659368536E-2</v>
      </c>
      <c r="F3" s="57">
        <v>0.93810077216303334</v>
      </c>
      <c r="G3" s="57">
        <v>0.34292928354999486</v>
      </c>
      <c r="H3" s="57">
        <v>1.7176493011435822E-2</v>
      </c>
      <c r="I3" s="58">
        <v>2.7854746359104663</v>
      </c>
      <c r="J3" s="58">
        <v>47.926018961978265</v>
      </c>
      <c r="K3" s="57">
        <v>3.8436907438178063E-2</v>
      </c>
      <c r="L3" s="57">
        <v>0.32130852311601976</v>
      </c>
      <c r="M3" s="58">
        <v>8.588246505717911E-3</v>
      </c>
      <c r="N3" s="57">
        <v>0.14233667285700313</v>
      </c>
      <c r="O3" s="36" t="s">
        <v>206</v>
      </c>
    </row>
    <row r="4" spans="1:19" x14ac:dyDescent="0.25">
      <c r="B4" s="50" t="s">
        <v>145</v>
      </c>
      <c r="C4" s="59">
        <v>41.450732299159363</v>
      </c>
      <c r="D4" s="60">
        <v>4.9234430505243099</v>
      </c>
      <c r="E4" s="60">
        <v>6.0861963775023835E-2</v>
      </c>
      <c r="F4" s="60">
        <v>1.0149457006673024</v>
      </c>
      <c r="G4" s="60">
        <v>0.54949658722592953</v>
      </c>
      <c r="H4" s="60">
        <v>1.4838726406101052E-2</v>
      </c>
      <c r="I4" s="61">
        <v>4.3664111725452814</v>
      </c>
      <c r="J4" s="45">
        <v>46.794155576739762</v>
      </c>
      <c r="K4" s="60">
        <v>9.6799504289799831E-2</v>
      </c>
      <c r="L4" s="60">
        <v>0.208669590085796</v>
      </c>
      <c r="M4" s="45">
        <v>1.5592255481410871E-2</v>
      </c>
      <c r="N4" s="60">
        <v>0.21968270734032416</v>
      </c>
      <c r="Q4" s="36" t="s">
        <v>207</v>
      </c>
    </row>
    <row r="5" spans="1:19" x14ac:dyDescent="0.25">
      <c r="A5" s="36" t="s">
        <v>208</v>
      </c>
      <c r="B5" s="55" t="s">
        <v>134</v>
      </c>
      <c r="C5" s="56">
        <v>35.919457571399228</v>
      </c>
      <c r="D5" s="62">
        <v>9.8305960139716433</v>
      </c>
      <c r="E5" s="62">
        <v>0.12880189028148756</v>
      </c>
      <c r="F5" s="62">
        <v>2.3126667762482018</v>
      </c>
      <c r="G5" s="62">
        <v>1.8025856585165398</v>
      </c>
      <c r="H5" s="62">
        <v>4.216499691801931E-2</v>
      </c>
      <c r="I5" s="63">
        <v>1.9916232586809122</v>
      </c>
      <c r="J5" s="63">
        <v>44.64491391000616</v>
      </c>
      <c r="K5" s="62">
        <v>0.2326123690158208</v>
      </c>
      <c r="L5" s="62">
        <v>0.66643764125744809</v>
      </c>
      <c r="M5" s="63">
        <v>0.1741068337785083</v>
      </c>
      <c r="N5" s="62">
        <v>2.3293277172796381</v>
      </c>
      <c r="O5" s="36" t="s">
        <v>26</v>
      </c>
      <c r="Q5" s="36" t="s">
        <v>209</v>
      </c>
    </row>
    <row r="6" spans="1:19" x14ac:dyDescent="0.25">
      <c r="B6" s="50" t="s">
        <v>112</v>
      </c>
      <c r="C6" s="64">
        <v>33.41647104851328</v>
      </c>
      <c r="D6" s="65">
        <v>11.720032766040692</v>
      </c>
      <c r="E6" s="65">
        <v>0.22838150430359944</v>
      </c>
      <c r="F6" s="65">
        <v>3.418398376369328</v>
      </c>
      <c r="G6" s="65">
        <v>2.9955929675273869</v>
      </c>
      <c r="H6" s="65">
        <v>0.11439050273865418</v>
      </c>
      <c r="I6" s="66">
        <v>1.6213089299687016</v>
      </c>
      <c r="J6" s="66">
        <v>42.640091940532095</v>
      </c>
      <c r="K6" s="65">
        <v>0.19309223395931147</v>
      </c>
      <c r="L6" s="65">
        <v>0.9548078051643194</v>
      </c>
      <c r="M6" s="67">
        <v>1.7687248630672932</v>
      </c>
      <c r="N6" s="65">
        <v>0.70179039514867003</v>
      </c>
      <c r="Q6" s="36" t="s">
        <v>210</v>
      </c>
    </row>
    <row r="7" spans="1:19" ht="18" x14ac:dyDescent="0.35">
      <c r="A7" s="36" t="s">
        <v>211</v>
      </c>
      <c r="B7" s="68" t="s">
        <v>111</v>
      </c>
      <c r="C7" s="69">
        <v>34.007675178850647</v>
      </c>
      <c r="D7" s="70">
        <v>14.124337281470595</v>
      </c>
      <c r="E7" s="70">
        <v>0.25011091107215605</v>
      </c>
      <c r="F7" s="70">
        <v>3.8565914625479683</v>
      </c>
      <c r="G7" s="70">
        <v>1.6227512673520625</v>
      </c>
      <c r="H7" s="70">
        <v>8.5460060643388416E-2</v>
      </c>
      <c r="I7" s="71">
        <v>2.0550009949305905</v>
      </c>
      <c r="J7" s="72">
        <v>41.370588430378525</v>
      </c>
      <c r="K7" s="70">
        <v>0.16432088880466189</v>
      </c>
      <c r="L7" s="70">
        <v>1.4425922205903248</v>
      </c>
      <c r="M7" s="72">
        <v>0.5212073814374375</v>
      </c>
      <c r="N7" s="70">
        <v>0.62626716255270731</v>
      </c>
      <c r="Q7" s="36" t="s">
        <v>212</v>
      </c>
    </row>
    <row r="8" spans="1:19" x14ac:dyDescent="0.25">
      <c r="A8" s="36" t="s">
        <v>213</v>
      </c>
      <c r="B8" s="73" t="s">
        <v>117</v>
      </c>
      <c r="C8" s="74">
        <v>34.085024638770598</v>
      </c>
      <c r="D8" s="75">
        <v>14.18885759625824</v>
      </c>
      <c r="E8" s="76">
        <v>0.2201560177065062</v>
      </c>
      <c r="F8" s="76">
        <v>3.3280471059884729</v>
      </c>
      <c r="G8" s="76">
        <v>1.7434510983045177</v>
      </c>
      <c r="H8" s="77">
        <v>9.2017305604276248E-2</v>
      </c>
      <c r="I8" s="47">
        <v>2.4757664745677763</v>
      </c>
      <c r="J8" s="78">
        <v>40.887059216570599</v>
      </c>
      <c r="K8" s="76">
        <v>0.19642662657646359</v>
      </c>
      <c r="L8" s="76">
        <v>1.1943793535454768</v>
      </c>
      <c r="M8" s="47">
        <v>0.42950197945377072</v>
      </c>
      <c r="N8" s="76">
        <v>1.0506847072579968</v>
      </c>
      <c r="Q8" s="36" t="s">
        <v>214</v>
      </c>
    </row>
    <row r="9" spans="1:19" x14ac:dyDescent="0.25">
      <c r="B9" s="44" t="s">
        <v>116</v>
      </c>
      <c r="C9" s="59">
        <v>35.746644295301998</v>
      </c>
      <c r="D9" s="79">
        <v>11.710174077181211</v>
      </c>
      <c r="E9" s="60">
        <v>0.17541166107382555</v>
      </c>
      <c r="F9" s="60">
        <v>2.57013422818792</v>
      </c>
      <c r="G9" s="60">
        <v>2.149917281879195</v>
      </c>
      <c r="H9" s="80">
        <v>0.13126960570469803</v>
      </c>
      <c r="I9" s="45">
        <v>4.1738979865771828</v>
      </c>
      <c r="J9" s="59">
        <v>40.698075503355717</v>
      </c>
      <c r="K9" s="60">
        <v>9.1882298657718131E-2</v>
      </c>
      <c r="L9" s="60">
        <v>1.1777640100671143</v>
      </c>
      <c r="M9" s="45">
        <v>0.44026399328859073</v>
      </c>
      <c r="N9" s="60">
        <v>1.0505423657718123</v>
      </c>
    </row>
    <row r="10" spans="1:19" x14ac:dyDescent="0.25">
      <c r="A10" s="36" t="s">
        <v>215</v>
      </c>
      <c r="B10" s="73" t="s">
        <v>151</v>
      </c>
      <c r="C10" s="59">
        <v>34.244087337623888</v>
      </c>
      <c r="D10" s="60">
        <v>15.402664982034976</v>
      </c>
      <c r="E10" s="60">
        <v>0.23014569431831636</v>
      </c>
      <c r="F10" s="60">
        <v>3.6875915821060516</v>
      </c>
      <c r="G10" s="60">
        <v>1.6991327831957985</v>
      </c>
      <c r="H10" s="60">
        <v>3.8993256208789032E-2</v>
      </c>
      <c r="I10" s="45">
        <v>2.1863840960240055</v>
      </c>
      <c r="J10" s="45">
        <v>40.374130374698929</v>
      </c>
      <c r="K10" s="60">
        <v>0.11967576104552451</v>
      </c>
      <c r="L10" s="60">
        <v>1.073136494649978</v>
      </c>
      <c r="M10" s="45">
        <v>2.8077774706834598E-2</v>
      </c>
      <c r="N10" s="60">
        <v>0.12033332017214826</v>
      </c>
    </row>
    <row r="11" spans="1:19" x14ac:dyDescent="0.25">
      <c r="B11" s="44" t="s">
        <v>133</v>
      </c>
      <c r="C11" s="59">
        <v>34.532064257719981</v>
      </c>
      <c r="D11" s="80">
        <v>14.391161634867995</v>
      </c>
      <c r="E11" s="80">
        <v>0.1826555407209613</v>
      </c>
      <c r="F11" s="80">
        <v>3.2688140316120418</v>
      </c>
      <c r="G11" s="80">
        <v>1.7460298462466082</v>
      </c>
      <c r="H11" s="80">
        <v>4.1244799517636418E-2</v>
      </c>
      <c r="I11" s="81">
        <v>3.7133413153021229</v>
      </c>
      <c r="J11" s="81">
        <v>39.693209440544379</v>
      </c>
      <c r="K11" s="80">
        <v>0.19051169301003487</v>
      </c>
      <c r="L11" s="80">
        <v>1.1070627934019552</v>
      </c>
      <c r="M11" s="81">
        <v>0.10370121021577157</v>
      </c>
      <c r="N11" s="80">
        <v>1.2798981437615746</v>
      </c>
    </row>
    <row r="12" spans="1:19" x14ac:dyDescent="0.25">
      <c r="A12" s="36" t="s">
        <v>216</v>
      </c>
      <c r="B12" s="68" t="s">
        <v>110</v>
      </c>
      <c r="C12" s="64">
        <v>32.267684599785291</v>
      </c>
      <c r="D12" s="65">
        <v>16.90259930812358</v>
      </c>
      <c r="E12" s="65">
        <v>0.31766455922700698</v>
      </c>
      <c r="F12" s="65">
        <v>4.7663230347131096</v>
      </c>
      <c r="G12" s="65">
        <v>1.7481710604795417</v>
      </c>
      <c r="H12" s="65">
        <v>7.9246809018251221E-2</v>
      </c>
      <c r="I12" s="66">
        <v>2.0150363831563878</v>
      </c>
      <c r="J12" s="66">
        <v>38.864802576643207</v>
      </c>
      <c r="K12" s="65">
        <v>0.26754264583084814</v>
      </c>
      <c r="L12" s="65">
        <v>1.6350580937611834</v>
      </c>
      <c r="M12" s="66">
        <v>0.56089130382917807</v>
      </c>
      <c r="N12" s="65">
        <v>0.61975068591196469</v>
      </c>
      <c r="Q12" s="36" t="s">
        <v>217</v>
      </c>
    </row>
    <row r="13" spans="1:19" ht="18" x14ac:dyDescent="0.35">
      <c r="B13" s="44" t="s">
        <v>130</v>
      </c>
      <c r="C13" s="59">
        <v>33.729561884430645</v>
      </c>
      <c r="D13" s="79">
        <v>13.205710203289506</v>
      </c>
      <c r="E13" s="60">
        <v>0.25712929988840916</v>
      </c>
      <c r="F13" s="60">
        <v>3.737652709718112</v>
      </c>
      <c r="G13" s="60">
        <v>3.341355489787007</v>
      </c>
      <c r="H13" s="80">
        <v>0.13565558682257048</v>
      </c>
      <c r="I13" s="45">
        <v>3.8059112609771488</v>
      </c>
      <c r="J13" s="59">
        <v>38.701935859492508</v>
      </c>
      <c r="K13" s="60">
        <v>0.20742647130173211</v>
      </c>
      <c r="L13" s="60">
        <v>1.0755692106156907</v>
      </c>
      <c r="M13" s="45">
        <v>1.3246797874921159</v>
      </c>
      <c r="N13" s="60">
        <v>0.37177715782834414</v>
      </c>
      <c r="Q13" s="36" t="s">
        <v>218</v>
      </c>
      <c r="R13" s="119" t="s">
        <v>219</v>
      </c>
      <c r="S13" s="118"/>
    </row>
    <row r="14" spans="1:19" ht="18" x14ac:dyDescent="0.35">
      <c r="B14" s="44" t="s">
        <v>143</v>
      </c>
      <c r="C14" s="59">
        <v>36.851487863966753</v>
      </c>
      <c r="D14" s="79">
        <v>13.379906751382725</v>
      </c>
      <c r="E14" s="60">
        <v>0.16544910179640712</v>
      </c>
      <c r="F14" s="60">
        <v>2.3232337614846634</v>
      </c>
      <c r="G14" s="60">
        <v>1.1606696530602911</v>
      </c>
      <c r="H14" s="80">
        <v>2.3554395026740404E-2</v>
      </c>
      <c r="I14" s="45">
        <v>6.614806646249483</v>
      </c>
      <c r="J14" s="59">
        <v>38.25536865200894</v>
      </c>
      <c r="K14" s="60">
        <v>0.13576930109247148</v>
      </c>
      <c r="L14" s="60">
        <v>0.69589660373908646</v>
      </c>
      <c r="M14" s="45">
        <v>2.1596791150523372E-2</v>
      </c>
      <c r="N14" s="60">
        <v>0.39973008182109049</v>
      </c>
      <c r="Q14" s="36" t="s">
        <v>220</v>
      </c>
      <c r="R14" s="119"/>
      <c r="S14" s="118"/>
    </row>
    <row r="15" spans="1:19" ht="18" x14ac:dyDescent="0.35">
      <c r="B15" s="44" t="s">
        <v>104</v>
      </c>
      <c r="C15" s="59">
        <v>34.563829337392669</v>
      </c>
      <c r="D15" s="79">
        <v>13.78282062666498</v>
      </c>
      <c r="E15" s="60">
        <v>0.25520106558416861</v>
      </c>
      <c r="F15" s="60">
        <v>3.9379487504757091</v>
      </c>
      <c r="G15" s="60">
        <v>2.1783701213581983</v>
      </c>
      <c r="H15" s="80">
        <v>0.13800488392743887</v>
      </c>
      <c r="I15" s="45">
        <v>4.5340722652120622</v>
      </c>
      <c r="J15" s="59">
        <v>38.005327920842333</v>
      </c>
      <c r="K15" s="60">
        <v>0.1498488308173708</v>
      </c>
      <c r="L15" s="60">
        <v>1.3329347963973113</v>
      </c>
      <c r="M15" s="45">
        <v>0.71240359000380604</v>
      </c>
      <c r="N15" s="60">
        <v>0.40897606664129582</v>
      </c>
      <c r="Q15" s="36" t="s">
        <v>221</v>
      </c>
    </row>
    <row r="16" spans="1:19" x14ac:dyDescent="0.25">
      <c r="B16" s="50" t="s">
        <v>120</v>
      </c>
      <c r="C16" s="64">
        <v>33.063666826232705</v>
      </c>
      <c r="D16" s="65">
        <v>16.605565533748191</v>
      </c>
      <c r="E16" s="65">
        <v>0.26774533269506917</v>
      </c>
      <c r="F16" s="65">
        <v>4.1828514600287177</v>
      </c>
      <c r="G16" s="65">
        <v>2.2798515078985142</v>
      </c>
      <c r="H16" s="65">
        <v>0.11633534705600757</v>
      </c>
      <c r="I16" s="66">
        <v>3.4505679751077043</v>
      </c>
      <c r="J16" s="66">
        <v>37.317005744375265</v>
      </c>
      <c r="K16" s="65">
        <v>0.37551282910483452</v>
      </c>
      <c r="L16" s="65">
        <v>1.1820956438487304</v>
      </c>
      <c r="M16" s="66">
        <v>0.53053737673527956</v>
      </c>
      <c r="N16" s="65">
        <v>1.00672245093346</v>
      </c>
    </row>
    <row r="17" spans="2:14" x14ac:dyDescent="0.25">
      <c r="B17" s="50" t="s">
        <v>137</v>
      </c>
      <c r="C17" s="59">
        <v>35.944555699532735</v>
      </c>
      <c r="D17" s="60">
        <v>13.930348854988805</v>
      </c>
      <c r="E17" s="60">
        <v>0.22575700789256678</v>
      </c>
      <c r="F17" s="60">
        <v>3.8017226469548819</v>
      </c>
      <c r="G17" s="60">
        <v>1.4097130015313932</v>
      </c>
      <c r="H17" s="60">
        <v>2.0165934974673103E-2</v>
      </c>
      <c r="I17" s="45">
        <v>5.2926067075038272</v>
      </c>
      <c r="J17" s="45">
        <v>37.230881835316289</v>
      </c>
      <c r="K17" s="60">
        <v>0.14775669336788783</v>
      </c>
      <c r="L17" s="60">
        <v>1.2156634385675578</v>
      </c>
      <c r="M17" s="45">
        <v>1.2682977971492516E-2</v>
      </c>
      <c r="N17" s="60">
        <v>0.46609944045234997</v>
      </c>
    </row>
    <row r="18" spans="2:14" x14ac:dyDescent="0.25">
      <c r="B18" s="44" t="s">
        <v>107</v>
      </c>
      <c r="C18" s="59">
        <v>32.412477185996337</v>
      </c>
      <c r="D18" s="80">
        <v>16.085830429732873</v>
      </c>
      <c r="E18" s="80">
        <v>0.30549560311929658</v>
      </c>
      <c r="F18" s="80">
        <v>4.5601301642608272</v>
      </c>
      <c r="G18" s="80">
        <v>2.8102891986062728</v>
      </c>
      <c r="H18" s="80">
        <v>0.1161153641944583</v>
      </c>
      <c r="I18" s="81">
        <v>3.8977724406835916</v>
      </c>
      <c r="J18" s="81">
        <v>36.632437365189986</v>
      </c>
      <c r="K18" s="80">
        <v>0.22979757756761249</v>
      </c>
      <c r="L18" s="80">
        <v>1.6342663016426087</v>
      </c>
      <c r="M18" s="81">
        <v>1.0404423261987725</v>
      </c>
      <c r="N18" s="80">
        <v>0.62856396217023414</v>
      </c>
    </row>
    <row r="19" spans="2:14" x14ac:dyDescent="0.25">
      <c r="B19" s="50" t="s">
        <v>138</v>
      </c>
      <c r="C19" s="59">
        <v>34.582289510946559</v>
      </c>
      <c r="D19" s="60">
        <v>15.511095207493728</v>
      </c>
      <c r="E19" s="60">
        <v>0.25710795664960229</v>
      </c>
      <c r="F19" s="60">
        <v>4.1944396775950308</v>
      </c>
      <c r="G19" s="60">
        <v>1.6357273292669634</v>
      </c>
      <c r="H19" s="60">
        <v>1.9397005337109238E-2</v>
      </c>
      <c r="I19" s="45">
        <v>5.5763135813092228</v>
      </c>
      <c r="J19" s="45">
        <v>35.956059557782361</v>
      </c>
      <c r="K19" s="60">
        <v>0.2219590208038339</v>
      </c>
      <c r="L19" s="60">
        <v>1.3382631870166641</v>
      </c>
      <c r="M19" s="45">
        <v>9.4381401808081872E-3</v>
      </c>
      <c r="N19" s="60">
        <v>0.66132071887593913</v>
      </c>
    </row>
    <row r="20" spans="2:14" x14ac:dyDescent="0.25">
      <c r="B20" s="44" t="s">
        <v>122</v>
      </c>
      <c r="C20" s="59">
        <v>31.688065144627053</v>
      </c>
      <c r="D20" s="60">
        <v>17.468400083928664</v>
      </c>
      <c r="E20" s="60">
        <v>0.30808682619773198</v>
      </c>
      <c r="F20" s="60">
        <v>4.6431622121196989</v>
      </c>
      <c r="G20" s="60">
        <v>2.4913362641754513</v>
      </c>
      <c r="H20" s="60">
        <v>0.1025362142179148</v>
      </c>
      <c r="I20" s="45">
        <v>3.3069807663486044</v>
      </c>
      <c r="J20" s="45">
        <v>35.925246540440632</v>
      </c>
      <c r="K20" s="60">
        <v>0.27734645551281417</v>
      </c>
      <c r="L20" s="60">
        <v>1.651099465454364</v>
      </c>
      <c r="M20" s="45">
        <v>0.54417287305790085</v>
      </c>
      <c r="N20" s="60">
        <v>1.0656661837438179</v>
      </c>
    </row>
    <row r="21" spans="2:14" x14ac:dyDescent="0.25">
      <c r="B21" s="44" t="s">
        <v>127</v>
      </c>
      <c r="C21" s="59">
        <v>33.922049100744395</v>
      </c>
      <c r="D21" s="60">
        <v>19.376169698090521</v>
      </c>
      <c r="E21" s="60">
        <v>0.17114189282907205</v>
      </c>
      <c r="F21" s="60">
        <v>2.5030327800638026</v>
      </c>
      <c r="G21" s="60">
        <v>0.76782578944935009</v>
      </c>
      <c r="H21" s="60">
        <v>2.425060798002681E-2</v>
      </c>
      <c r="I21" s="45">
        <v>5.6542902584493024</v>
      </c>
      <c r="J21" s="45">
        <v>35.873719543205873</v>
      </c>
      <c r="K21" s="60">
        <v>0.14404993296037724</v>
      </c>
      <c r="L21" s="60">
        <v>0.77905904110222368</v>
      </c>
      <c r="M21" s="45">
        <v>1.4537149197836233E-2</v>
      </c>
      <c r="N21" s="60">
        <v>0.24911387489019365</v>
      </c>
    </row>
    <row r="22" spans="2:14" x14ac:dyDescent="0.25">
      <c r="B22" s="50" t="s">
        <v>118</v>
      </c>
      <c r="C22" s="64">
        <v>31.171007927519838</v>
      </c>
      <c r="D22" s="65">
        <v>19.703675560588895</v>
      </c>
      <c r="E22" s="65">
        <v>0.32211968289920717</v>
      </c>
      <c r="F22" s="65">
        <v>4.9006242355605876</v>
      </c>
      <c r="G22" s="65">
        <v>2.2266178935447334</v>
      </c>
      <c r="H22" s="65">
        <v>8.9477689694224219E-2</v>
      </c>
      <c r="I22" s="66">
        <v>2.7985868176670436</v>
      </c>
      <c r="J22" s="66">
        <v>35.653417893544727</v>
      </c>
      <c r="K22" s="65">
        <v>0.44738844847112108</v>
      </c>
      <c r="L22" s="65">
        <v>1.2568173952434878</v>
      </c>
      <c r="M22" s="66">
        <v>0.36307293318233286</v>
      </c>
      <c r="N22" s="65">
        <v>1.2994913703284254</v>
      </c>
    </row>
    <row r="23" spans="2:14" x14ac:dyDescent="0.25">
      <c r="B23" s="50" t="s">
        <v>119</v>
      </c>
      <c r="C23" s="64">
        <v>31.369790750835229</v>
      </c>
      <c r="D23" s="65">
        <v>19.234988746263408</v>
      </c>
      <c r="E23" s="65">
        <v>0.32050307719359944</v>
      </c>
      <c r="F23" s="65">
        <v>4.8027420432565506</v>
      </c>
      <c r="G23" s="65">
        <v>2.3986258132583087</v>
      </c>
      <c r="H23" s="65">
        <v>9.985695445753473E-2</v>
      </c>
      <c r="I23" s="66">
        <v>3.2983678565148584</v>
      </c>
      <c r="J23" s="66">
        <v>35.447503077193602</v>
      </c>
      <c r="K23" s="65">
        <v>0.47903886055917</v>
      </c>
      <c r="L23" s="65">
        <v>1.2518150167047652</v>
      </c>
      <c r="M23" s="66">
        <v>0.41706578160717428</v>
      </c>
      <c r="N23" s="65">
        <v>1.2360300685774575</v>
      </c>
    </row>
    <row r="24" spans="2:14" x14ac:dyDescent="0.25">
      <c r="B24" s="44" t="s">
        <v>152</v>
      </c>
      <c r="C24" s="59">
        <v>38.13779440898081</v>
      </c>
      <c r="D24" s="80">
        <v>10.861766057671149</v>
      </c>
      <c r="E24" s="80">
        <v>0.15589275808936837</v>
      </c>
      <c r="F24" s="80">
        <v>2.635948580233328</v>
      </c>
      <c r="G24" s="80">
        <v>1.1747632841734545</v>
      </c>
      <c r="H24" s="80">
        <v>1.6888382126348241E-2</v>
      </c>
      <c r="I24" s="81">
        <v>10.457187233105884</v>
      </c>
      <c r="J24" s="81">
        <v>35.205781201849021</v>
      </c>
      <c r="K24" s="80">
        <v>7.4853268765133221E-2</v>
      </c>
      <c r="L24" s="80">
        <v>1.012065683469074</v>
      </c>
      <c r="M24" s="81">
        <v>1.2805476557340973E-2</v>
      </c>
      <c r="N24" s="80">
        <v>0.78688725511776414</v>
      </c>
    </row>
    <row r="25" spans="2:14" x14ac:dyDescent="0.25">
      <c r="B25" s="50" t="s">
        <v>147</v>
      </c>
      <c r="C25" s="59">
        <v>41.457203489742952</v>
      </c>
      <c r="D25" s="60">
        <v>6.9687939938693741</v>
      </c>
      <c r="E25" s="60">
        <v>8.3458610705022446E-2</v>
      </c>
      <c r="F25" s="60">
        <v>1.4112619240745115</v>
      </c>
      <c r="G25" s="60">
        <v>1.0501875180381992</v>
      </c>
      <c r="H25" s="60">
        <v>7.2388753312897944E-2</v>
      </c>
      <c r="I25" s="45">
        <v>12.792929958971948</v>
      </c>
      <c r="J25" s="45">
        <v>35.087390917236519</v>
      </c>
      <c r="K25" s="60">
        <v>7.4185431737797736E-2</v>
      </c>
      <c r="L25" s="60">
        <v>0.37150673237444015</v>
      </c>
      <c r="M25" s="45">
        <v>1.2229004763027596E-2</v>
      </c>
      <c r="N25" s="60">
        <v>0.15706446875736865</v>
      </c>
    </row>
    <row r="26" spans="2:14" x14ac:dyDescent="0.25">
      <c r="B26" s="44" t="s">
        <v>121</v>
      </c>
      <c r="C26" s="59">
        <v>30.832029722330894</v>
      </c>
      <c r="D26" s="60">
        <v>18.677344012514652</v>
      </c>
      <c r="E26" s="60">
        <v>0.34099809346890864</v>
      </c>
      <c r="F26" s="60">
        <v>5.0333531971059804</v>
      </c>
      <c r="G26" s="60">
        <v>2.5730484943292908</v>
      </c>
      <c r="H26" s="60">
        <v>9.6973494329292073E-2</v>
      </c>
      <c r="I26" s="45">
        <v>3.1575178431755946</v>
      </c>
      <c r="J26" s="45">
        <v>35.005909757528329</v>
      </c>
      <c r="K26" s="60">
        <v>0.20197047321079376</v>
      </c>
      <c r="L26" s="60">
        <v>2.0017210598357438</v>
      </c>
      <c r="M26" s="45">
        <v>0.59027945834962814</v>
      </c>
      <c r="N26" s="60">
        <v>0.99186869378177489</v>
      </c>
    </row>
    <row r="27" spans="2:14" x14ac:dyDescent="0.25">
      <c r="B27" s="44" t="s">
        <v>141</v>
      </c>
      <c r="C27" s="59">
        <v>30.9280581767812</v>
      </c>
      <c r="D27" s="80">
        <v>17.973900701237998</v>
      </c>
      <c r="E27" s="80">
        <v>0.32671028482382497</v>
      </c>
      <c r="F27" s="80">
        <v>4.9441695957060023</v>
      </c>
      <c r="G27" s="80">
        <v>3.2864429919487508</v>
      </c>
      <c r="H27" s="80">
        <v>0.13579543762444818</v>
      </c>
      <c r="I27" s="81">
        <v>3.9205234178858994</v>
      </c>
      <c r="J27" s="81">
        <v>34.874423426543174</v>
      </c>
      <c r="K27" s="80">
        <v>0.27905064496580401</v>
      </c>
      <c r="L27" s="80">
        <v>1.6943347329235572</v>
      </c>
      <c r="M27" s="81">
        <v>1.4202572677690251</v>
      </c>
      <c r="N27" s="80">
        <v>0.49939013938187199</v>
      </c>
    </row>
    <row r="28" spans="2:14" x14ac:dyDescent="0.25">
      <c r="B28" s="50" t="s">
        <v>124</v>
      </c>
      <c r="C28" s="59">
        <v>34.815779007123005</v>
      </c>
      <c r="D28" s="60">
        <v>17.889020722421076</v>
      </c>
      <c r="E28" s="60">
        <v>0.1755280702896192</v>
      </c>
      <c r="F28" s="60">
        <v>2.9175088447770894</v>
      </c>
      <c r="G28" s="60">
        <v>0.96411373901724651</v>
      </c>
      <c r="H28" s="60">
        <v>2.7877987634233634E-2</v>
      </c>
      <c r="I28" s="45">
        <v>6.6158594728278528</v>
      </c>
      <c r="J28" s="45">
        <v>34.757139212495915</v>
      </c>
      <c r="K28" s="60">
        <v>0.16326691832085902</v>
      </c>
      <c r="L28" s="60">
        <v>1.0822079921900416</v>
      </c>
      <c r="M28" s="45">
        <v>2.4522303937520327E-2</v>
      </c>
      <c r="N28" s="60">
        <v>0.43559355678490058</v>
      </c>
    </row>
    <row r="29" spans="2:14" x14ac:dyDescent="0.25">
      <c r="B29" s="44" t="s">
        <v>105</v>
      </c>
      <c r="C29" s="59">
        <v>31.921137472100558</v>
      </c>
      <c r="D29" s="79">
        <v>16.386582210465395</v>
      </c>
      <c r="E29" s="60">
        <v>0.32201301975696434</v>
      </c>
      <c r="F29" s="60">
        <v>4.6674868149127855</v>
      </c>
      <c r="G29" s="60">
        <v>3.2473617425808032</v>
      </c>
      <c r="H29" s="80">
        <v>0.13254954534182023</v>
      </c>
      <c r="I29" s="45">
        <v>4.9214209721418509</v>
      </c>
      <c r="J29" s="59">
        <v>34.420672894105962</v>
      </c>
      <c r="K29" s="60">
        <v>0.21921393733983621</v>
      </c>
      <c r="L29" s="60">
        <v>1.6733784409357684</v>
      </c>
      <c r="M29" s="45">
        <v>1.2643606348681484</v>
      </c>
      <c r="N29" s="60">
        <v>0.65764181201950855</v>
      </c>
    </row>
    <row r="30" spans="2:14" x14ac:dyDescent="0.25">
      <c r="B30" s="44" t="s">
        <v>136</v>
      </c>
      <c r="C30" s="59">
        <v>29.954178485708017</v>
      </c>
      <c r="D30" s="80">
        <v>19.454526467379456</v>
      </c>
      <c r="E30" s="80">
        <v>0.4006620990617501</v>
      </c>
      <c r="F30" s="80">
        <v>6.0673690595679721</v>
      </c>
      <c r="G30" s="80">
        <v>3.5912492690377498</v>
      </c>
      <c r="H30" s="80">
        <v>0.13651930613135507</v>
      </c>
      <c r="I30" s="81">
        <v>2.8802841806676867</v>
      </c>
      <c r="J30" s="81">
        <v>34.385493781365938</v>
      </c>
      <c r="K30" s="80">
        <v>0.2514644992363082</v>
      </c>
      <c r="L30" s="80">
        <v>2.2183511673576271</v>
      </c>
      <c r="M30" s="81">
        <v>1.116250211651757</v>
      </c>
      <c r="N30" s="80">
        <v>0.16460768055858616</v>
      </c>
    </row>
    <row r="31" spans="2:14" x14ac:dyDescent="0.25">
      <c r="B31" s="50" t="s">
        <v>114</v>
      </c>
      <c r="C31" s="64">
        <v>32.56016362766006</v>
      </c>
      <c r="D31" s="65">
        <v>17.049465033291259</v>
      </c>
      <c r="E31" s="65">
        <v>0.32573440967840195</v>
      </c>
      <c r="F31" s="65">
        <v>4.8819697549936887</v>
      </c>
      <c r="G31" s="65">
        <v>2.4514380521345567</v>
      </c>
      <c r="H31" s="65">
        <v>0.14142133687279687</v>
      </c>
      <c r="I31" s="66">
        <v>5.9670767222246388</v>
      </c>
      <c r="J31" s="66">
        <v>34.003165498933804</v>
      </c>
      <c r="K31" s="65">
        <v>0.36552391313808252</v>
      </c>
      <c r="L31" s="65">
        <v>1.2793336959832888</v>
      </c>
      <c r="M31" s="66">
        <v>0.79747606510291991</v>
      </c>
      <c r="N31" s="65">
        <v>0.57054101570999594</v>
      </c>
    </row>
    <row r="32" spans="2:14" x14ac:dyDescent="0.25">
      <c r="B32" s="50" t="s">
        <v>109</v>
      </c>
      <c r="C32" s="64">
        <v>30.307225149593609</v>
      </c>
      <c r="D32" s="65">
        <v>17.520066669643661</v>
      </c>
      <c r="E32" s="65">
        <v>0.35334236849156042</v>
      </c>
      <c r="F32" s="65">
        <v>5.2325335357685123</v>
      </c>
      <c r="G32" s="65">
        <v>4.2080497454675383</v>
      </c>
      <c r="H32" s="65">
        <v>0.1276074707510941</v>
      </c>
      <c r="I32" s="66">
        <v>4.3167704742341719</v>
      </c>
      <c r="J32" s="66">
        <v>33.884627132267589</v>
      </c>
      <c r="K32" s="65">
        <v>0.14147633294632497</v>
      </c>
      <c r="L32" s="65">
        <v>2.1381743324104683</v>
      </c>
      <c r="M32" s="66">
        <v>1.4546972894525325</v>
      </c>
      <c r="N32" s="65">
        <v>0.58541930874341364</v>
      </c>
    </row>
    <row r="33" spans="2:14" x14ac:dyDescent="0.25">
      <c r="B33" s="44" t="s">
        <v>131</v>
      </c>
      <c r="C33" s="59">
        <v>30.281869616188438</v>
      </c>
      <c r="D33" s="80">
        <v>22.334900249757872</v>
      </c>
      <c r="E33" s="80">
        <v>0.35904837147662955</v>
      </c>
      <c r="F33" s="80">
        <v>5.3487749630460231</v>
      </c>
      <c r="G33" s="80">
        <v>2.0176426933075065</v>
      </c>
      <c r="H33" s="80">
        <v>8.3313165808654818E-2</v>
      </c>
      <c r="I33" s="81">
        <v>3.1359215046638442</v>
      </c>
      <c r="J33" s="81">
        <v>33.799349610071843</v>
      </c>
      <c r="K33" s="80">
        <v>0.29699923543503726</v>
      </c>
      <c r="L33" s="80">
        <v>1.797333401294662</v>
      </c>
      <c r="M33" s="81">
        <v>0.51898176257709328</v>
      </c>
      <c r="N33" s="80">
        <v>0.71879392425709709</v>
      </c>
    </row>
    <row r="34" spans="2:14" x14ac:dyDescent="0.25">
      <c r="B34" s="50" t="s">
        <v>144</v>
      </c>
      <c r="C34" s="59">
        <v>34.501313448012866</v>
      </c>
      <c r="D34" s="60">
        <v>16.660291760444036</v>
      </c>
      <c r="E34" s="60">
        <v>0.2276013858995001</v>
      </c>
      <c r="F34" s="60">
        <v>4.1007155681721903</v>
      </c>
      <c r="G34" s="60">
        <v>1.8616626179984752</v>
      </c>
      <c r="H34" s="60">
        <v>2.6910135369883917E-2</v>
      </c>
      <c r="I34" s="45">
        <v>6.8591665528345072</v>
      </c>
      <c r="J34" s="45">
        <v>33.640911397339224</v>
      </c>
      <c r="K34" s="60">
        <v>0.19971859503431919</v>
      </c>
      <c r="L34" s="60">
        <v>1.3137333556478268</v>
      </c>
      <c r="M34" s="45">
        <v>2.2241388992458269E-2</v>
      </c>
      <c r="N34" s="60">
        <v>0.43899184687738346</v>
      </c>
    </row>
    <row r="35" spans="2:14" x14ac:dyDescent="0.25">
      <c r="B35" s="44" t="s">
        <v>154</v>
      </c>
      <c r="C35" s="59">
        <v>37.386723806972974</v>
      </c>
      <c r="D35" s="80">
        <v>12.545196018034897</v>
      </c>
      <c r="E35" s="80">
        <v>0.17844783715012702</v>
      </c>
      <c r="F35" s="80">
        <v>3.1325422079371426</v>
      </c>
      <c r="G35" s="80">
        <v>1.3011038792911016</v>
      </c>
      <c r="H35" s="80">
        <v>1.9660568724610486E-2</v>
      </c>
      <c r="I35" s="81">
        <v>10.664919333958295</v>
      </c>
      <c r="J35" s="81">
        <v>33.529409401365974</v>
      </c>
      <c r="K35" s="80">
        <v>0.14025373867238056</v>
      </c>
      <c r="L35" s="80">
        <v>0.96048765680103476</v>
      </c>
      <c r="M35" s="81">
        <v>1.9472728896031407E-2</v>
      </c>
      <c r="N35" s="80">
        <v>0.4357884023034681</v>
      </c>
    </row>
    <row r="36" spans="2:14" x14ac:dyDescent="0.25">
      <c r="B36" s="44" t="s">
        <v>153</v>
      </c>
      <c r="C36" s="59">
        <v>36.37201894463302</v>
      </c>
      <c r="D36" s="80">
        <v>13.769731380191967</v>
      </c>
      <c r="E36" s="80">
        <v>0.20106442013495965</v>
      </c>
      <c r="F36" s="80">
        <v>3.5071743157718274</v>
      </c>
      <c r="G36" s="80">
        <v>1.4233579362085593</v>
      </c>
      <c r="H36" s="80">
        <v>1.9470162202942294E-2</v>
      </c>
      <c r="I36" s="81">
        <v>9.9603241544071466</v>
      </c>
      <c r="J36" s="81">
        <v>33.474680833228568</v>
      </c>
      <c r="K36" s="80">
        <v>0.11071268703633853</v>
      </c>
      <c r="L36" s="80">
        <v>1.1376683012699615</v>
      </c>
      <c r="M36" s="81">
        <v>2.0042814032440598E-2</v>
      </c>
      <c r="N36" s="80">
        <v>0.41358187685988534</v>
      </c>
    </row>
    <row r="37" spans="2:14" x14ac:dyDescent="0.25">
      <c r="B37" s="50" t="s">
        <v>113</v>
      </c>
      <c r="C37" s="64">
        <v>32.683064744133453</v>
      </c>
      <c r="D37" s="65">
        <v>16.943672603901611</v>
      </c>
      <c r="E37" s="65">
        <v>0.32985298275374608</v>
      </c>
      <c r="F37" s="65">
        <v>4.8925948543963811</v>
      </c>
      <c r="G37" s="65">
        <v>2.4550486287814528</v>
      </c>
      <c r="H37" s="65">
        <v>0.14500067854113655</v>
      </c>
      <c r="I37" s="66">
        <v>6.2988456318914325</v>
      </c>
      <c r="J37" s="66">
        <v>33.456516822165675</v>
      </c>
      <c r="K37" s="65">
        <v>0.34062369239468476</v>
      </c>
      <c r="L37" s="65">
        <v>1.4069239468476109</v>
      </c>
      <c r="M37" s="66">
        <v>0.78565595137121857</v>
      </c>
      <c r="N37" s="65">
        <v>0.51901357082273114</v>
      </c>
    </row>
    <row r="38" spans="2:14" x14ac:dyDescent="0.25">
      <c r="B38" s="44" t="s">
        <v>128</v>
      </c>
      <c r="C38" s="59">
        <v>33.429592959295924</v>
      </c>
      <c r="D38" s="60">
        <v>20.65365518151815</v>
      </c>
      <c r="E38" s="60">
        <v>0.17042024202420242</v>
      </c>
      <c r="F38" s="60">
        <v>2.6348567106710674</v>
      </c>
      <c r="G38" s="60">
        <v>0.86741240374037398</v>
      </c>
      <c r="H38" s="60">
        <v>2.5829317931793182E-2</v>
      </c>
      <c r="I38" s="45">
        <v>6.9985468921892187</v>
      </c>
      <c r="J38" s="45">
        <v>33.425001375137512</v>
      </c>
      <c r="K38" s="60">
        <v>0.1111725797579758</v>
      </c>
      <c r="L38" s="60">
        <v>0.91534309680968096</v>
      </c>
      <c r="M38" s="45">
        <v>1.2714947744774477E-2</v>
      </c>
      <c r="N38" s="60">
        <v>0.2862527502750275</v>
      </c>
    </row>
    <row r="39" spans="2:14" x14ac:dyDescent="0.25">
      <c r="B39" s="44" t="s">
        <v>132</v>
      </c>
      <c r="C39" s="59">
        <v>28.895653514180029</v>
      </c>
      <c r="D39" s="80">
        <v>25.119850183030209</v>
      </c>
      <c r="E39" s="80">
        <v>0.37801203722256471</v>
      </c>
      <c r="F39" s="80">
        <v>5.808855365289765</v>
      </c>
      <c r="G39" s="80">
        <v>1.9724203506473488</v>
      </c>
      <c r="H39" s="80">
        <v>6.2438859779593091E-2</v>
      </c>
      <c r="I39" s="81">
        <v>2.4489830120992604</v>
      </c>
      <c r="J39" s="81">
        <v>32.261250774506777</v>
      </c>
      <c r="K39" s="80">
        <v>0.15627313270653512</v>
      </c>
      <c r="L39" s="80">
        <v>2.3616953163532672</v>
      </c>
      <c r="M39" s="81">
        <v>0.27150696975184951</v>
      </c>
      <c r="N39" s="80">
        <v>0.69126223566584455</v>
      </c>
    </row>
    <row r="40" spans="2:14" x14ac:dyDescent="0.25">
      <c r="B40" s="50" t="s">
        <v>125</v>
      </c>
      <c r="C40" s="59">
        <v>34.941986234021613</v>
      </c>
      <c r="D40" s="60">
        <v>19.570842782300893</v>
      </c>
      <c r="E40" s="60">
        <v>0.15844228672566379</v>
      </c>
      <c r="F40" s="60">
        <v>2.4925676814159301</v>
      </c>
      <c r="G40" s="60">
        <v>0.864991833628319</v>
      </c>
      <c r="H40" s="60">
        <v>2.9691826902654882E-2</v>
      </c>
      <c r="I40" s="45">
        <v>8.7156139185840757</v>
      </c>
      <c r="J40" s="45">
        <v>31.63049065486727</v>
      </c>
      <c r="K40" s="60">
        <v>8.5017812389380568E-2</v>
      </c>
      <c r="L40" s="60">
        <v>0.94614520000000046</v>
      </c>
      <c r="M40" s="45">
        <v>1.5457784070796466E-2</v>
      </c>
      <c r="N40" s="60">
        <v>0.3349186548672568</v>
      </c>
    </row>
    <row r="41" spans="2:14" x14ac:dyDescent="0.25">
      <c r="B41" s="44" t="s">
        <v>150</v>
      </c>
      <c r="C41" s="59">
        <v>32.010331467929426</v>
      </c>
      <c r="D41" s="60">
        <v>21.860908494188543</v>
      </c>
      <c r="E41" s="60">
        <v>0.25428136030994397</v>
      </c>
      <c r="F41" s="60">
        <v>4.0005120964270331</v>
      </c>
      <c r="G41" s="60">
        <v>1.476735600516573</v>
      </c>
      <c r="H41" s="60">
        <v>3.6782410675850183E-2</v>
      </c>
      <c r="I41" s="45">
        <v>7.2932517434352109</v>
      </c>
      <c r="J41" s="45">
        <v>30.833314679294009</v>
      </c>
      <c r="K41" s="60">
        <v>0.12238140335772704</v>
      </c>
      <c r="L41" s="60">
        <v>1.4243835557468787</v>
      </c>
      <c r="M41" s="45">
        <v>2.6583960396039597E-2</v>
      </c>
      <c r="N41" s="60">
        <v>8.0227808867843281E-2</v>
      </c>
    </row>
    <row r="42" spans="2:14" x14ac:dyDescent="0.25">
      <c r="B42" s="44" t="s">
        <v>115</v>
      </c>
      <c r="C42" s="59">
        <v>25.810255962260833</v>
      </c>
      <c r="D42" s="60">
        <v>27.129943006901378</v>
      </c>
      <c r="E42" s="60">
        <v>0.46591159255700199</v>
      </c>
      <c r="F42" s="60">
        <v>7.4330704551410873</v>
      </c>
      <c r="G42" s="60">
        <v>2.6188979645321924</v>
      </c>
      <c r="H42" s="60">
        <v>7.2335000436795693E-2</v>
      </c>
      <c r="I42" s="45">
        <v>2.3777812964095406</v>
      </c>
      <c r="J42" s="45">
        <v>29.097217611601302</v>
      </c>
      <c r="K42" s="60">
        <v>0.34720800209661934</v>
      </c>
      <c r="L42" s="60">
        <v>3.1345166855944795</v>
      </c>
      <c r="M42" s="45">
        <v>0.22353369878570811</v>
      </c>
      <c r="N42" s="60">
        <v>1.0460753909321223</v>
      </c>
    </row>
    <row r="43" spans="2:14" x14ac:dyDescent="0.25">
      <c r="B43" s="44" t="s">
        <v>106</v>
      </c>
      <c r="C43" s="59">
        <v>26.24930889295285</v>
      </c>
      <c r="D43" s="80">
        <v>25.122376418151656</v>
      </c>
      <c r="E43" s="80">
        <v>0.48480754306128515</v>
      </c>
      <c r="F43" s="80">
        <v>7.3239525066984212</v>
      </c>
      <c r="G43" s="80">
        <v>3.2257224777782501</v>
      </c>
      <c r="H43" s="80">
        <v>0.11024990813592478</v>
      </c>
      <c r="I43" s="81">
        <v>3.4958712593033634</v>
      </c>
      <c r="J43" s="81">
        <v>28.986234125802742</v>
      </c>
      <c r="K43" s="80">
        <v>0.39281093097435454</v>
      </c>
      <c r="L43" s="80">
        <v>3.0709345272827795</v>
      </c>
      <c r="M43" s="81">
        <v>1.2727658269042654</v>
      </c>
      <c r="N43" s="80">
        <v>0.60673956066856616</v>
      </c>
    </row>
    <row r="44" spans="2:14" x14ac:dyDescent="0.25">
      <c r="B44" s="50" t="s">
        <v>165</v>
      </c>
      <c r="C44" s="59">
        <v>43.491999189791365</v>
      </c>
      <c r="D44" s="60">
        <v>5.1439515677536969</v>
      </c>
      <c r="E44" s="60">
        <v>8.5592668827223023E-2</v>
      </c>
      <c r="F44" s="60">
        <v>1.372839276483695</v>
      </c>
      <c r="G44" s="60">
        <v>0.61313441199108776</v>
      </c>
      <c r="H44" s="60">
        <v>3.1943407778002843E-2</v>
      </c>
      <c r="I44" s="45">
        <v>19.659461228276285</v>
      </c>
      <c r="J44" s="45">
        <v>28.95046151509014</v>
      </c>
      <c r="K44" s="60">
        <v>7.3285226250759575E-2</v>
      </c>
      <c r="L44" s="60">
        <v>0.37146099412598749</v>
      </c>
      <c r="M44" s="45">
        <v>1.4097616042130849E-2</v>
      </c>
      <c r="N44" s="60">
        <v>0.10852926635608671</v>
      </c>
    </row>
    <row r="45" spans="2:14" x14ac:dyDescent="0.25">
      <c r="B45" s="44" t="s">
        <v>135</v>
      </c>
      <c r="C45" s="59">
        <v>30.253113700281226</v>
      </c>
      <c r="D45" s="80">
        <v>18.432009642426678</v>
      </c>
      <c r="E45" s="80">
        <v>0.36686862193652076</v>
      </c>
      <c r="F45" s="80">
        <v>5.6920433909200483</v>
      </c>
      <c r="G45" s="80">
        <v>3.594057051024508</v>
      </c>
      <c r="H45" s="80">
        <v>0.14019124146243472</v>
      </c>
      <c r="I45" s="81">
        <v>8.2726781840096439</v>
      </c>
      <c r="J45" s="81">
        <v>28.840337484933713</v>
      </c>
      <c r="K45" s="80">
        <v>0.17297227802330253</v>
      </c>
      <c r="L45" s="80">
        <v>2.3260586580956208</v>
      </c>
      <c r="M45" s="81">
        <v>2.4030592205705101</v>
      </c>
      <c r="N45" s="80">
        <v>0.22249256729610287</v>
      </c>
    </row>
    <row r="46" spans="2:14" x14ac:dyDescent="0.25">
      <c r="B46" s="50" t="s">
        <v>166</v>
      </c>
      <c r="C46" s="59">
        <v>43.251178930509795</v>
      </c>
      <c r="D46" s="60">
        <v>5.9057817101165622</v>
      </c>
      <c r="E46" s="60">
        <v>7.8092052673725487E-2</v>
      </c>
      <c r="F46" s="60">
        <v>1.2444165228223159</v>
      </c>
      <c r="G46" s="60">
        <v>0.5511388753447819</v>
      </c>
      <c r="H46" s="60">
        <v>2.8821023756561991E-2</v>
      </c>
      <c r="I46" s="45">
        <v>19.820774232582984</v>
      </c>
      <c r="J46" s="45">
        <v>28.500790159266856</v>
      </c>
      <c r="K46" s="60">
        <v>5.5619519530207349E-2</v>
      </c>
      <c r="L46" s="60">
        <v>0.36798773022510928</v>
      </c>
      <c r="M46" s="45">
        <v>1.5112778539015938E-2</v>
      </c>
      <c r="N46" s="60">
        <v>0.10449727911735926</v>
      </c>
    </row>
    <row r="47" spans="2:14" x14ac:dyDescent="0.25">
      <c r="B47" s="50" t="s">
        <v>148</v>
      </c>
      <c r="C47" s="59">
        <v>37.567874219953033</v>
      </c>
      <c r="D47" s="60">
        <v>15.311185416565351</v>
      </c>
      <c r="E47" s="60">
        <v>0.15865876124483336</v>
      </c>
      <c r="F47" s="60">
        <v>2.5582187859632044</v>
      </c>
      <c r="G47" s="60">
        <v>1.2096193153821211</v>
      </c>
      <c r="H47" s="60">
        <v>6.7583712638787541E-2</v>
      </c>
      <c r="I47" s="45">
        <v>13.675401289002341</v>
      </c>
      <c r="J47" s="45">
        <v>28.386389221168631</v>
      </c>
      <c r="K47" s="60">
        <v>0.15742884836696641</v>
      </c>
      <c r="L47" s="60">
        <v>0.71765416423535078</v>
      </c>
      <c r="M47" s="45">
        <v>1.561989354890995E-2</v>
      </c>
      <c r="N47" s="60">
        <v>0.13406050368749484</v>
      </c>
    </row>
    <row r="48" spans="2:14" x14ac:dyDescent="0.25">
      <c r="B48" s="50" t="s">
        <v>149</v>
      </c>
      <c r="C48" s="59">
        <v>33.697180186884964</v>
      </c>
      <c r="D48" s="60">
        <v>21.127227776399572</v>
      </c>
      <c r="E48" s="60">
        <v>0.23576288183246508</v>
      </c>
      <c r="F48" s="60">
        <v>3.7904924270238989</v>
      </c>
      <c r="G48" s="60">
        <v>1.4596400024807741</v>
      </c>
      <c r="H48" s="60">
        <v>5.5185494500950977E-2</v>
      </c>
      <c r="I48" s="45">
        <v>9.9601654039527006</v>
      </c>
      <c r="J48" s="45">
        <v>28.160929264863974</v>
      </c>
      <c r="K48" s="60">
        <v>0.16327069378979578</v>
      </c>
      <c r="L48" s="60">
        <v>1.1814267402629621</v>
      </c>
      <c r="M48" s="45">
        <v>2.227012263292814E-2</v>
      </c>
      <c r="N48" s="60">
        <v>0.14302512775986109</v>
      </c>
    </row>
    <row r="49" spans="2:14" x14ac:dyDescent="0.25">
      <c r="B49" s="50" t="s">
        <v>123</v>
      </c>
      <c r="C49" s="59">
        <v>31.939819953138521</v>
      </c>
      <c r="D49" s="60">
        <v>24.07246370945861</v>
      </c>
      <c r="E49" s="60">
        <v>0.22122961524232321</v>
      </c>
      <c r="F49" s="60">
        <v>3.7166575360710299</v>
      </c>
      <c r="G49" s="60">
        <v>1.1356453582439257</v>
      </c>
      <c r="H49" s="60">
        <v>3.7273838204464151E-2</v>
      </c>
      <c r="I49" s="45">
        <v>9.3278450499445</v>
      </c>
      <c r="J49" s="45">
        <v>27.419064434578846</v>
      </c>
      <c r="K49" s="60">
        <v>0.20111783203847566</v>
      </c>
      <c r="L49" s="60">
        <v>1.5667079115797253</v>
      </c>
      <c r="M49" s="45">
        <v>2.6949789493155737E-2</v>
      </c>
      <c r="N49" s="60">
        <v>0.27217946602540372</v>
      </c>
    </row>
    <row r="50" spans="2:14" x14ac:dyDescent="0.25">
      <c r="B50" s="44" t="s">
        <v>159</v>
      </c>
      <c r="C50" s="59">
        <v>39.688041594454035</v>
      </c>
      <c r="D50" s="79">
        <v>11.155402357019073</v>
      </c>
      <c r="E50" s="60">
        <v>0.13733032928942818</v>
      </c>
      <c r="F50" s="60">
        <v>2.3632758405545946</v>
      </c>
      <c r="G50" s="60">
        <v>1.0413221490467945</v>
      </c>
      <c r="H50" s="80">
        <v>4.519959098786832E-2</v>
      </c>
      <c r="I50" s="45">
        <v>17.892350641247848</v>
      </c>
      <c r="J50" s="59">
        <v>26.23009289428078</v>
      </c>
      <c r="K50" s="60">
        <v>0.13971868284228781</v>
      </c>
      <c r="L50" s="60">
        <v>0.71949150779896065</v>
      </c>
      <c r="M50" s="45">
        <v>5.8275826689774747E-2</v>
      </c>
      <c r="N50" s="60">
        <v>0.39049580589254801</v>
      </c>
    </row>
    <row r="51" spans="2:14" x14ac:dyDescent="0.25">
      <c r="B51" s="50" t="s">
        <v>164</v>
      </c>
      <c r="C51" s="64">
        <v>36.435584899272087</v>
      </c>
      <c r="D51" s="65">
        <v>15.453144955137962</v>
      </c>
      <c r="E51" s="65">
        <v>0.23900220077873693</v>
      </c>
      <c r="F51" s="65">
        <v>4.3478059928897892</v>
      </c>
      <c r="G51" s="65">
        <v>1.8090432537667165</v>
      </c>
      <c r="H51" s="65">
        <v>6.7441844421872316E-2</v>
      </c>
      <c r="I51" s="66">
        <v>14.868987980362272</v>
      </c>
      <c r="J51" s="66">
        <v>25.749944557304875</v>
      </c>
      <c r="K51" s="65">
        <v>0.17162392077196537</v>
      </c>
      <c r="L51" s="65">
        <v>1.4632528356187566</v>
      </c>
      <c r="M51" s="66">
        <v>4.4367961740308083E-2</v>
      </c>
      <c r="N51" s="65">
        <v>0.21611901134247491</v>
      </c>
    </row>
    <row r="52" spans="2:14" x14ac:dyDescent="0.25">
      <c r="B52" s="50" t="s">
        <v>163</v>
      </c>
      <c r="C52" s="64">
        <v>36.818386660657971</v>
      </c>
      <c r="D52" s="65">
        <v>14.935501577287061</v>
      </c>
      <c r="E52" s="65">
        <v>0.24514465975664707</v>
      </c>
      <c r="F52" s="65">
        <v>4.3045633168093715</v>
      </c>
      <c r="G52" s="65">
        <v>1.7615033799008555</v>
      </c>
      <c r="H52" s="65">
        <v>8.2136097341144632E-2</v>
      </c>
      <c r="I52" s="66">
        <v>15.224873366381248</v>
      </c>
      <c r="J52" s="66">
        <v>25.733871113114006</v>
      </c>
      <c r="K52" s="65">
        <v>0.11625416854438932</v>
      </c>
      <c r="L52" s="65">
        <v>1.4272726453357363</v>
      </c>
      <c r="M52" s="66">
        <v>3.2917620549797195E-2</v>
      </c>
      <c r="N52" s="65">
        <v>0.15795403334835506</v>
      </c>
    </row>
    <row r="53" spans="2:14" x14ac:dyDescent="0.25">
      <c r="B53" s="50" t="s">
        <v>140</v>
      </c>
      <c r="C53" s="59">
        <v>26.747329128587982</v>
      </c>
      <c r="D53" s="60">
        <v>27.135587542798298</v>
      </c>
      <c r="E53" s="60">
        <v>0.42496804479340966</v>
      </c>
      <c r="F53" s="60">
        <v>6.8930397026644359</v>
      </c>
      <c r="G53" s="60">
        <v>2.9015309679495429</v>
      </c>
      <c r="H53" s="60">
        <v>2.5382050456944267E-2</v>
      </c>
      <c r="I53" s="45">
        <v>6.159135843737932</v>
      </c>
      <c r="J53" s="45">
        <v>25.51983873085339</v>
      </c>
      <c r="K53" s="60">
        <v>0.20958321663019691</v>
      </c>
      <c r="L53" s="60">
        <v>2.8710725074012098</v>
      </c>
      <c r="M53" s="45">
        <v>1.9290358347277641E-2</v>
      </c>
      <c r="N53" s="60">
        <v>1.206735198867293</v>
      </c>
    </row>
    <row r="54" spans="2:14" x14ac:dyDescent="0.25">
      <c r="B54" s="44" t="s">
        <v>160</v>
      </c>
      <c r="C54" s="59">
        <v>38.626099358212493</v>
      </c>
      <c r="D54" s="79">
        <v>12.45340272878536</v>
      </c>
      <c r="E54" s="60">
        <v>0.15979922510102215</v>
      </c>
      <c r="F54" s="60">
        <v>2.7828154028999297</v>
      </c>
      <c r="G54" s="60">
        <v>1.1416834371285955</v>
      </c>
      <c r="H54" s="80">
        <v>4.2106792013311162E-2</v>
      </c>
      <c r="I54" s="45">
        <v>17.583990777275975</v>
      </c>
      <c r="J54" s="59">
        <v>25.507115854528173</v>
      </c>
      <c r="K54" s="60">
        <v>0.12273552650344668</v>
      </c>
      <c r="L54" s="60">
        <v>0.87980714048015241</v>
      </c>
      <c r="M54" s="45">
        <v>7.4309677680057071E-2</v>
      </c>
      <c r="N54" s="60">
        <v>0.67383019253624932</v>
      </c>
    </row>
    <row r="55" spans="2:14" x14ac:dyDescent="0.25">
      <c r="B55" s="44" t="s">
        <v>161</v>
      </c>
      <c r="C55" s="59">
        <v>38.461171532150381</v>
      </c>
      <c r="D55" s="79">
        <v>13.121081312249563</v>
      </c>
      <c r="E55" s="60">
        <v>0.18216108614768162</v>
      </c>
      <c r="F55" s="60">
        <v>3.1899513279908396</v>
      </c>
      <c r="G55" s="60">
        <v>1.3049800887235252</v>
      </c>
      <c r="H55" s="80">
        <v>4.2341790927303932E-2</v>
      </c>
      <c r="I55" s="45">
        <v>17.181019366056088</v>
      </c>
      <c r="J55" s="59">
        <v>25.051718603319962</v>
      </c>
      <c r="K55" s="60">
        <v>0.10783448912421288</v>
      </c>
      <c r="L55" s="60">
        <v>0.9991444190040063</v>
      </c>
      <c r="M55" s="45">
        <v>7.6519840870062916E-2</v>
      </c>
      <c r="N55" s="60">
        <v>0.38991001717229518</v>
      </c>
    </row>
    <row r="56" spans="2:14" x14ac:dyDescent="0.25">
      <c r="B56" s="44" t="s">
        <v>129</v>
      </c>
      <c r="C56" s="59">
        <v>28.727699530516439</v>
      </c>
      <c r="D56" s="79">
        <v>24.254854753521126</v>
      </c>
      <c r="E56" s="60">
        <v>0.39442803802816906</v>
      </c>
      <c r="F56" s="60">
        <v>6.1224545366197169</v>
      </c>
      <c r="G56" s="60">
        <v>2.9959596591549298</v>
      </c>
      <c r="H56" s="80">
        <v>0.16447437507042253</v>
      </c>
      <c r="I56" s="45">
        <v>8.1030618760563371</v>
      </c>
      <c r="J56" s="59">
        <v>24.844027225352111</v>
      </c>
      <c r="K56" s="60">
        <v>0.19756681690140845</v>
      </c>
      <c r="L56" s="60">
        <v>2.3348164183098592</v>
      </c>
      <c r="M56" s="45">
        <v>0.82385362647887317</v>
      </c>
      <c r="N56" s="60">
        <v>0.91374652816901392</v>
      </c>
    </row>
    <row r="57" spans="2:14" x14ac:dyDescent="0.25">
      <c r="B57" s="50" t="s">
        <v>139</v>
      </c>
      <c r="C57" s="59">
        <v>26.025724874645729</v>
      </c>
      <c r="D57" s="60">
        <v>28.270031174187928</v>
      </c>
      <c r="E57" s="60">
        <v>0.43645931938085897</v>
      </c>
      <c r="F57" s="60">
        <v>7.1808123413996086</v>
      </c>
      <c r="G57" s="60">
        <v>3.0428282432962726</v>
      </c>
      <c r="H57" s="60">
        <v>2.4919714061478093E-2</v>
      </c>
      <c r="I57" s="45">
        <v>6.3363109204272945</v>
      </c>
      <c r="J57" s="45">
        <v>24.242072714192286</v>
      </c>
      <c r="K57" s="60">
        <v>0.26741330586439938</v>
      </c>
      <c r="L57" s="60">
        <v>2.8898124551994773</v>
      </c>
      <c r="M57" s="45">
        <v>1.4062879572705475E-2</v>
      </c>
      <c r="N57" s="60">
        <v>1.2795034471332027</v>
      </c>
    </row>
    <row r="58" spans="2:14" x14ac:dyDescent="0.25">
      <c r="B58" s="50" t="s">
        <v>162</v>
      </c>
      <c r="C58" s="64">
        <v>34.189329637969891</v>
      </c>
      <c r="D58" s="65">
        <v>18.394082366187416</v>
      </c>
      <c r="E58" s="65">
        <v>0.29285748311103399</v>
      </c>
      <c r="F58" s="65">
        <v>5.5267800970032885</v>
      </c>
      <c r="G58" s="65">
        <v>2.0730361164039484</v>
      </c>
      <c r="H58" s="65">
        <v>8.1671041919279375E-2</v>
      </c>
      <c r="I58" s="66">
        <v>14.036099774813781</v>
      </c>
      <c r="J58" s="66">
        <v>23.751070933656671</v>
      </c>
      <c r="K58" s="65">
        <v>0.16650099601593618</v>
      </c>
      <c r="L58" s="65">
        <v>2.1144968387320273</v>
      </c>
      <c r="M58" s="66">
        <v>3.520870864368611E-2</v>
      </c>
      <c r="N58" s="65">
        <v>0.14346726138922564</v>
      </c>
    </row>
    <row r="59" spans="2:14" x14ac:dyDescent="0.25">
      <c r="B59" s="50" t="s">
        <v>155</v>
      </c>
      <c r="C59" s="59">
        <v>35.789928679489961</v>
      </c>
      <c r="D59" s="60">
        <v>17.60035296736546</v>
      </c>
      <c r="E59" s="60">
        <v>0.25045780419278146</v>
      </c>
      <c r="F59" s="60">
        <v>4.2217319267343845</v>
      </c>
      <c r="G59" s="60">
        <v>1.5982496747352497</v>
      </c>
      <c r="H59" s="60">
        <v>6.1855488005186934E-2</v>
      </c>
      <c r="I59" s="45">
        <v>15.738996104387292</v>
      </c>
      <c r="J59" s="45">
        <v>22.838462902528633</v>
      </c>
      <c r="K59" s="60">
        <v>0.15685236222174193</v>
      </c>
      <c r="L59" s="60">
        <v>1.6703511638210502</v>
      </c>
      <c r="M59" s="45">
        <v>1.2712630970391181E-2</v>
      </c>
      <c r="N59" s="60">
        <v>0.16317705424681217</v>
      </c>
    </row>
    <row r="60" spans="2:14" x14ac:dyDescent="0.25">
      <c r="B60" s="44" t="s">
        <v>158</v>
      </c>
      <c r="C60" s="59">
        <v>30.311377834620519</v>
      </c>
      <c r="D60" s="60">
        <v>26.474094300752608</v>
      </c>
      <c r="E60" s="60">
        <v>0.29269221309459381</v>
      </c>
      <c r="F60" s="60">
        <v>4.8231495400659137</v>
      </c>
      <c r="G60" s="60">
        <v>1.8983180677849372</v>
      </c>
      <c r="H60" s="60">
        <v>6.8294849722071893E-2</v>
      </c>
      <c r="I60" s="45">
        <v>13.807406709626635</v>
      </c>
      <c r="J60" s="45">
        <v>19.721880072802392</v>
      </c>
      <c r="K60" s="60">
        <v>0.18955305228983219</v>
      </c>
      <c r="L60" s="60">
        <v>2.1004150720645374</v>
      </c>
      <c r="M60" s="45">
        <v>1.993094593929853E-2</v>
      </c>
      <c r="N60" s="60">
        <v>0.21533784249102259</v>
      </c>
    </row>
    <row r="61" spans="2:14" x14ac:dyDescent="0.25">
      <c r="B61" s="50" t="s">
        <v>156</v>
      </c>
      <c r="C61" s="59">
        <v>31.457205683355877</v>
      </c>
      <c r="D61" s="60">
        <v>25.025656205810218</v>
      </c>
      <c r="E61" s="60">
        <v>0.31596857324086602</v>
      </c>
      <c r="F61" s="60">
        <v>5.2668180338717869</v>
      </c>
      <c r="G61" s="60">
        <v>1.8445003036197565</v>
      </c>
      <c r="H61" s="60">
        <v>6.4071405129397838E-2</v>
      </c>
      <c r="I61" s="45">
        <v>13.781090848274696</v>
      </c>
      <c r="J61" s="45">
        <v>19.613006522750339</v>
      </c>
      <c r="K61" s="60">
        <v>0.19106646629736129</v>
      </c>
      <c r="L61" s="60">
        <v>2.2414864597428958</v>
      </c>
      <c r="M61" s="45">
        <v>1.4920738180818675E-2</v>
      </c>
      <c r="N61" s="60">
        <v>0.16811148448071719</v>
      </c>
    </row>
    <row r="62" spans="2:14" x14ac:dyDescent="0.25">
      <c r="B62" s="44" t="s">
        <v>157</v>
      </c>
      <c r="C62" s="59">
        <v>28.919860627177673</v>
      </c>
      <c r="D62" s="60">
        <v>28.986367108013948</v>
      </c>
      <c r="E62" s="60">
        <v>0.30493379790940778</v>
      </c>
      <c r="F62" s="60">
        <v>4.9571289198606294</v>
      </c>
      <c r="G62" s="60">
        <v>1.7229825783972132</v>
      </c>
      <c r="H62" s="60">
        <v>6.9800696864111528E-2</v>
      </c>
      <c r="I62" s="45">
        <v>13.028278745644604</v>
      </c>
      <c r="J62" s="45">
        <v>18.871777003484329</v>
      </c>
      <c r="K62" s="60">
        <v>0.19049477351916386</v>
      </c>
      <c r="L62" s="60">
        <v>2.2212543554006978</v>
      </c>
      <c r="M62" s="45">
        <v>3.0422299651567956E-2</v>
      </c>
      <c r="N62" s="60">
        <v>0.30848780487804889</v>
      </c>
    </row>
  </sheetData>
  <mergeCells count="2">
    <mergeCell ref="S13:S14"/>
    <mergeCell ref="R13:R14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0B85-3611-461E-8B20-A9373B1D43F4}">
  <dimension ref="B2:O21"/>
  <sheetViews>
    <sheetView workbookViewId="0">
      <selection activeCell="L18" sqref="L18"/>
    </sheetView>
  </sheetViews>
  <sheetFormatPr baseColWidth="10" defaultColWidth="9.140625" defaultRowHeight="15" x14ac:dyDescent="0.25"/>
  <cols>
    <col min="1" max="1" width="9.140625" style="36"/>
    <col min="2" max="2" width="2.85546875" style="36" bestFit="1" customWidth="1"/>
    <col min="3" max="3" width="14.42578125" style="36" customWidth="1"/>
    <col min="4" max="4" width="10.28515625" style="36" bestFit="1" customWidth="1"/>
    <col min="5" max="5" width="9.5703125" style="36" bestFit="1" customWidth="1"/>
    <col min="6" max="16384" width="9.140625" style="36"/>
  </cols>
  <sheetData>
    <row r="2" spans="2:15" x14ac:dyDescent="0.25">
      <c r="D2" s="36" t="s">
        <v>222</v>
      </c>
      <c r="E2" s="36" t="s">
        <v>223</v>
      </c>
      <c r="F2" s="36" t="s">
        <v>224</v>
      </c>
      <c r="G2" s="36" t="s">
        <v>225</v>
      </c>
      <c r="H2" s="36" t="s">
        <v>226</v>
      </c>
      <c r="I2" s="36" t="s">
        <v>227</v>
      </c>
    </row>
    <row r="3" spans="2:15" x14ac:dyDescent="0.25">
      <c r="B3" s="46" t="s">
        <v>205</v>
      </c>
      <c r="C3" s="46" t="s">
        <v>126</v>
      </c>
      <c r="D3" s="44">
        <v>94.35</v>
      </c>
      <c r="E3" s="44">
        <v>10.62</v>
      </c>
      <c r="F3" s="44">
        <f>D3+E3</f>
        <v>104.97</v>
      </c>
      <c r="G3" s="44">
        <v>101.33</v>
      </c>
      <c r="H3" s="44">
        <f>F3-G3</f>
        <v>3.6400000000000006</v>
      </c>
      <c r="I3" s="59">
        <f>(H3/E3)*100</f>
        <v>34.274952919020727</v>
      </c>
    </row>
    <row r="4" spans="2:15" x14ac:dyDescent="0.25">
      <c r="B4" s="46" t="s">
        <v>208</v>
      </c>
      <c r="C4" s="46" t="s">
        <v>134</v>
      </c>
      <c r="D4" s="45">
        <v>94.9</v>
      </c>
      <c r="E4" s="44">
        <v>10.15</v>
      </c>
      <c r="F4" s="44">
        <f t="shared" ref="F4:F8" si="0">D4+E4</f>
        <v>105.05000000000001</v>
      </c>
      <c r="G4" s="44">
        <v>101.49</v>
      </c>
      <c r="H4" s="44">
        <f t="shared" ref="H4:H8" si="1">F4-G4</f>
        <v>3.5600000000000165</v>
      </c>
      <c r="I4" s="59">
        <f t="shared" ref="I4:I8" si="2">(H4/E4)*100</f>
        <v>35.073891625615929</v>
      </c>
    </row>
    <row r="5" spans="2:15" x14ac:dyDescent="0.25">
      <c r="B5" s="46" t="s">
        <v>211</v>
      </c>
      <c r="C5" s="48" t="s">
        <v>111</v>
      </c>
      <c r="D5" s="44">
        <v>94.13</v>
      </c>
      <c r="E5" s="44">
        <v>10.57</v>
      </c>
      <c r="F5" s="45">
        <f t="shared" si="0"/>
        <v>104.69999999999999</v>
      </c>
      <c r="G5" s="44">
        <v>101.17</v>
      </c>
      <c r="H5" s="44">
        <f t="shared" si="1"/>
        <v>3.5299999999999869</v>
      </c>
      <c r="I5" s="59">
        <f t="shared" si="2"/>
        <v>33.396404919583603</v>
      </c>
    </row>
    <row r="6" spans="2:15" x14ac:dyDescent="0.25">
      <c r="B6" s="46" t="s">
        <v>213</v>
      </c>
      <c r="C6" s="46" t="s">
        <v>117</v>
      </c>
      <c r="D6" s="44">
        <v>95.12</v>
      </c>
      <c r="E6" s="44">
        <v>10.29</v>
      </c>
      <c r="F6" s="44">
        <f t="shared" si="0"/>
        <v>105.41</v>
      </c>
      <c r="G6" s="44">
        <v>102.04</v>
      </c>
      <c r="H6" s="44">
        <f t="shared" si="1"/>
        <v>3.3699999999999903</v>
      </c>
      <c r="I6" s="59">
        <f t="shared" si="2"/>
        <v>32.750242954324492</v>
      </c>
    </row>
    <row r="7" spans="2:15" x14ac:dyDescent="0.25">
      <c r="B7" s="46" t="s">
        <v>215</v>
      </c>
      <c r="C7" s="46" t="s">
        <v>151</v>
      </c>
      <c r="D7" s="44">
        <v>94.46</v>
      </c>
      <c r="E7" s="44">
        <v>10.71</v>
      </c>
      <c r="F7" s="44">
        <f t="shared" si="0"/>
        <v>105.16999999999999</v>
      </c>
      <c r="G7" s="44">
        <v>101.52</v>
      </c>
      <c r="H7" s="44">
        <f t="shared" si="1"/>
        <v>3.6499999999999915</v>
      </c>
      <c r="I7" s="59">
        <f t="shared" si="2"/>
        <v>34.080298786181054</v>
      </c>
    </row>
    <row r="8" spans="2:15" x14ac:dyDescent="0.25">
      <c r="B8" s="46" t="s">
        <v>216</v>
      </c>
      <c r="C8" s="48" t="s">
        <v>110</v>
      </c>
      <c r="D8" s="44">
        <v>95.43</v>
      </c>
      <c r="E8" s="44">
        <v>10.44</v>
      </c>
      <c r="F8" s="44">
        <f t="shared" si="0"/>
        <v>105.87</v>
      </c>
      <c r="G8" s="44">
        <v>102.52</v>
      </c>
      <c r="H8" s="44">
        <f t="shared" si="1"/>
        <v>3.3500000000000085</v>
      </c>
      <c r="I8" s="59">
        <f t="shared" si="2"/>
        <v>32.088122605364063</v>
      </c>
    </row>
    <row r="14" spans="2:15" x14ac:dyDescent="0.25">
      <c r="B14"/>
      <c r="C14" s="94" t="s">
        <v>192</v>
      </c>
      <c r="D14" s="95" t="s">
        <v>176</v>
      </c>
      <c r="E14" s="96" t="s">
        <v>177</v>
      </c>
      <c r="F14" s="96"/>
      <c r="G14" s="96"/>
      <c r="H14" s="96"/>
      <c r="I14" s="96"/>
      <c r="J14" s="96"/>
      <c r="K14" s="96"/>
      <c r="L14" s="96"/>
      <c r="M14" s="96"/>
      <c r="N14" s="96"/>
      <c r="O14" s="96"/>
    </row>
    <row r="15" spans="2:15" ht="18" x14ac:dyDescent="0.25">
      <c r="B15"/>
      <c r="C15" s="94"/>
      <c r="D15" s="95"/>
      <c r="E15" s="12" t="s">
        <v>178</v>
      </c>
      <c r="F15" s="12" t="s">
        <v>179</v>
      </c>
      <c r="G15" s="12" t="s">
        <v>180</v>
      </c>
      <c r="H15" s="12" t="s">
        <v>181</v>
      </c>
      <c r="I15" s="12" t="s">
        <v>182</v>
      </c>
      <c r="J15" s="12" t="s">
        <v>183</v>
      </c>
      <c r="K15" s="12" t="s">
        <v>184</v>
      </c>
      <c r="L15" s="12" t="s">
        <v>185</v>
      </c>
      <c r="M15" s="12" t="s">
        <v>186</v>
      </c>
      <c r="N15" s="12" t="s">
        <v>187</v>
      </c>
      <c r="O15" s="12" t="s">
        <v>188</v>
      </c>
    </row>
    <row r="16" spans="2:15" x14ac:dyDescent="0.25">
      <c r="B16" t="s">
        <v>205</v>
      </c>
      <c r="C16" s="83" t="s">
        <v>126</v>
      </c>
      <c r="D16" s="84">
        <v>39.942332127846782</v>
      </c>
      <c r="E16" s="85">
        <v>7.2905204183364232</v>
      </c>
      <c r="F16" s="85">
        <v>6.6063434659368536E-2</v>
      </c>
      <c r="G16" s="85">
        <v>0.93810077216303334</v>
      </c>
      <c r="H16" s="85">
        <v>0.34292928354999486</v>
      </c>
      <c r="I16" s="85">
        <v>1.7176493011435822E-2</v>
      </c>
      <c r="J16" s="85">
        <v>2.7854746359104663</v>
      </c>
      <c r="K16" s="85">
        <v>47.926018961978265</v>
      </c>
      <c r="L16" s="85">
        <v>3.8436907438178063E-2</v>
      </c>
      <c r="M16" s="85">
        <v>0.32130852311601976</v>
      </c>
      <c r="N16" s="85">
        <v>8.588246505717911E-3</v>
      </c>
      <c r="O16" s="85">
        <v>0.14233667285700313</v>
      </c>
    </row>
    <row r="17" spans="2:15" x14ac:dyDescent="0.25">
      <c r="B17" t="s">
        <v>208</v>
      </c>
      <c r="C17" s="83" t="s">
        <v>134</v>
      </c>
      <c r="D17" s="84">
        <v>35.919457571399228</v>
      </c>
      <c r="E17" s="85">
        <v>9.8305960139716433</v>
      </c>
      <c r="F17" s="85">
        <v>0.12880189028148756</v>
      </c>
      <c r="G17" s="85">
        <v>2.3126667762482018</v>
      </c>
      <c r="H17" s="85">
        <v>1.8025856585165398</v>
      </c>
      <c r="I17" s="85">
        <v>4.216499691801931E-2</v>
      </c>
      <c r="J17" s="85">
        <v>1.9916232586809122</v>
      </c>
      <c r="K17" s="85">
        <v>44.64491391000616</v>
      </c>
      <c r="L17" s="85">
        <v>0.2326123690158208</v>
      </c>
      <c r="M17" s="85">
        <v>0.66643764125744809</v>
      </c>
      <c r="N17" s="85">
        <v>0.1741068337785083</v>
      </c>
      <c r="O17" s="85">
        <v>2.3293277172796381</v>
      </c>
    </row>
    <row r="18" spans="2:15" x14ac:dyDescent="0.25">
      <c r="B18" t="s">
        <v>211</v>
      </c>
      <c r="C18" s="86" t="s">
        <v>111</v>
      </c>
      <c r="D18" s="87">
        <v>34.007675178850647</v>
      </c>
      <c r="E18" s="88">
        <v>14.124337281470595</v>
      </c>
      <c r="F18" s="88">
        <v>0.25011091107215605</v>
      </c>
      <c r="G18" s="88">
        <v>3.8565914625479683</v>
      </c>
      <c r="H18" s="88">
        <v>1.6227512673520625</v>
      </c>
      <c r="I18" s="88">
        <v>8.5460060643388416E-2</v>
      </c>
      <c r="J18" s="88">
        <v>2.0550009949305905</v>
      </c>
      <c r="K18" s="88">
        <v>41.370588430378525</v>
      </c>
      <c r="L18" s="88">
        <v>0.16432088880466189</v>
      </c>
      <c r="M18" s="88">
        <v>1.4425922205903248</v>
      </c>
      <c r="N18" s="88">
        <v>0.5212073814374375</v>
      </c>
      <c r="O18" s="88">
        <v>0.62626716255270731</v>
      </c>
    </row>
    <row r="19" spans="2:15" x14ac:dyDescent="0.25">
      <c r="B19" t="s">
        <v>213</v>
      </c>
      <c r="C19" s="83" t="s">
        <v>117</v>
      </c>
      <c r="D19" s="84">
        <v>34.085024638770598</v>
      </c>
      <c r="E19" s="85">
        <v>14.18885759625824</v>
      </c>
      <c r="F19" s="85">
        <v>0.2201560177065062</v>
      </c>
      <c r="G19" s="85">
        <v>3.3280471059884729</v>
      </c>
      <c r="H19" s="85">
        <v>1.7434510983045177</v>
      </c>
      <c r="I19" s="85">
        <v>9.2017305604276248E-2</v>
      </c>
      <c r="J19" s="85">
        <v>2.4757664745677763</v>
      </c>
      <c r="K19" s="85">
        <v>40.887059216570599</v>
      </c>
      <c r="L19" s="85">
        <v>0.19642662657646359</v>
      </c>
      <c r="M19" s="85">
        <v>1.1943793535454768</v>
      </c>
      <c r="N19" s="85">
        <v>0.42950197945377072</v>
      </c>
      <c r="O19" s="85">
        <v>1.0506847072579968</v>
      </c>
    </row>
    <row r="20" spans="2:15" x14ac:dyDescent="0.25">
      <c r="B20" t="s">
        <v>215</v>
      </c>
      <c r="C20" s="83" t="s">
        <v>151</v>
      </c>
      <c r="D20" s="84">
        <v>34.244087337623888</v>
      </c>
      <c r="E20" s="85">
        <v>15.402664982034976</v>
      </c>
      <c r="F20" s="85">
        <v>0.23014569431831636</v>
      </c>
      <c r="G20" s="85">
        <v>3.6875915821060516</v>
      </c>
      <c r="H20" s="85">
        <v>1.6991327831957985</v>
      </c>
      <c r="I20" s="85">
        <v>3.8993256208789032E-2</v>
      </c>
      <c r="J20" s="85">
        <v>2.1863840960240055</v>
      </c>
      <c r="K20" s="85">
        <v>40.374130374698929</v>
      </c>
      <c r="L20" s="85">
        <v>0.11967576104552451</v>
      </c>
      <c r="M20" s="85">
        <v>1.073136494649978</v>
      </c>
      <c r="N20" s="85">
        <v>2.8077774706834598E-2</v>
      </c>
      <c r="O20" s="85">
        <v>0.12033332017214826</v>
      </c>
    </row>
    <row r="21" spans="2:15" x14ac:dyDescent="0.25">
      <c r="B21" t="s">
        <v>216</v>
      </c>
      <c r="C21" s="86" t="s">
        <v>110</v>
      </c>
      <c r="D21" s="87">
        <v>32.267684599785291</v>
      </c>
      <c r="E21" s="88">
        <v>16.90259930812358</v>
      </c>
      <c r="F21" s="88">
        <v>0.31766455922700698</v>
      </c>
      <c r="G21" s="88">
        <v>4.7663230347131096</v>
      </c>
      <c r="H21" s="88">
        <v>1.7481710604795417</v>
      </c>
      <c r="I21" s="88">
        <v>7.9246809018251221E-2</v>
      </c>
      <c r="J21" s="88">
        <v>2.0150363831563878</v>
      </c>
      <c r="K21" s="88">
        <v>38.864802576643207</v>
      </c>
      <c r="L21" s="88">
        <v>0.26754264583084814</v>
      </c>
      <c r="M21" s="88">
        <v>1.6350580937611834</v>
      </c>
      <c r="N21" s="88">
        <v>0.56089130382917807</v>
      </c>
      <c r="O21" s="88">
        <v>0.61975068591196469</v>
      </c>
    </row>
  </sheetData>
  <mergeCells count="3">
    <mergeCell ref="C14:C15"/>
    <mergeCell ref="D14:D15"/>
    <mergeCell ref="E14:O1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5092-074F-4F85-98D0-C94965F71264}">
  <dimension ref="B2:M28"/>
  <sheetViews>
    <sheetView workbookViewId="0">
      <selection activeCell="H15" sqref="H15"/>
    </sheetView>
  </sheetViews>
  <sheetFormatPr baseColWidth="10" defaultColWidth="8.85546875" defaultRowHeight="15" x14ac:dyDescent="0.25"/>
  <cols>
    <col min="1" max="1" width="8.85546875" style="36"/>
    <col min="2" max="2" width="22.7109375" style="36" bestFit="1" customWidth="1"/>
    <col min="3" max="10" width="8.28515625" style="36" customWidth="1"/>
    <col min="11" max="11" width="8.85546875" style="36"/>
    <col min="12" max="12" width="13.42578125" style="36" customWidth="1"/>
    <col min="13" max="16384" width="8.85546875" style="36"/>
  </cols>
  <sheetData>
    <row r="2" spans="2:13" x14ac:dyDescent="0.25">
      <c r="B2" s="117" t="s">
        <v>228</v>
      </c>
      <c r="C2" s="117" t="s">
        <v>229</v>
      </c>
      <c r="D2" s="117"/>
      <c r="E2" s="117"/>
      <c r="F2" s="117"/>
      <c r="G2" s="117"/>
      <c r="H2" s="117"/>
      <c r="I2" s="117"/>
      <c r="J2" s="117"/>
    </row>
    <row r="3" spans="2:13" x14ac:dyDescent="0.25">
      <c r="B3" s="117"/>
      <c r="C3" s="116" t="s">
        <v>126</v>
      </c>
      <c r="D3" s="116" t="s">
        <v>134</v>
      </c>
      <c r="E3" s="116" t="s">
        <v>111</v>
      </c>
      <c r="F3" s="116" t="s">
        <v>230</v>
      </c>
      <c r="G3" s="116" t="s">
        <v>151</v>
      </c>
      <c r="H3" s="116"/>
      <c r="I3" s="116" t="s">
        <v>110</v>
      </c>
      <c r="J3" s="117" t="s">
        <v>231</v>
      </c>
      <c r="L3" s="90"/>
    </row>
    <row r="4" spans="2:13" x14ac:dyDescent="0.25">
      <c r="B4" s="117"/>
      <c r="C4" s="116"/>
      <c r="D4" s="116"/>
      <c r="E4" s="116"/>
      <c r="F4" s="116"/>
      <c r="G4" s="51" t="s">
        <v>232</v>
      </c>
      <c r="H4" s="51" t="s">
        <v>233</v>
      </c>
      <c r="I4" s="116"/>
      <c r="J4" s="117"/>
      <c r="L4" s="90"/>
    </row>
    <row r="5" spans="2:13" x14ac:dyDescent="0.25">
      <c r="B5" s="44" t="s">
        <v>234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16.565999999999999</v>
      </c>
    </row>
    <row r="6" spans="2:13" x14ac:dyDescent="0.25">
      <c r="B6" s="44" t="s">
        <v>235</v>
      </c>
      <c r="C6" s="64">
        <v>2</v>
      </c>
      <c r="D6" s="64">
        <v>16.8</v>
      </c>
      <c r="E6" s="64">
        <v>1.9470000000000001</v>
      </c>
      <c r="F6" s="64">
        <v>0</v>
      </c>
      <c r="G6" s="64">
        <v>0</v>
      </c>
      <c r="H6" s="64">
        <v>1.6830000000000001</v>
      </c>
      <c r="I6" s="64">
        <v>0.1</v>
      </c>
      <c r="J6" s="64">
        <v>0.42499999999999999</v>
      </c>
    </row>
    <row r="7" spans="2:13" x14ac:dyDescent="0.25">
      <c r="B7" s="44" t="s">
        <v>236</v>
      </c>
      <c r="C7" s="64">
        <v>2.6</v>
      </c>
      <c r="D7" s="64">
        <v>2.5</v>
      </c>
      <c r="E7" s="64">
        <v>2.214</v>
      </c>
      <c r="F7" s="64">
        <v>3.3820000000000001</v>
      </c>
      <c r="G7" s="64">
        <v>1.3</v>
      </c>
      <c r="H7" s="64">
        <v>2.7959999999999998</v>
      </c>
      <c r="I7" s="64">
        <v>2.2919999999999998</v>
      </c>
      <c r="J7" s="64">
        <v>5.29</v>
      </c>
      <c r="L7" s="36" t="s">
        <v>237</v>
      </c>
    </row>
    <row r="8" spans="2:13" x14ac:dyDescent="0.25">
      <c r="B8" s="92" t="s">
        <v>238</v>
      </c>
      <c r="C8" s="64">
        <v>19.5</v>
      </c>
      <c r="D8" s="64">
        <v>2.8</v>
      </c>
      <c r="E8" s="64">
        <v>46.432000000000002</v>
      </c>
      <c r="F8" s="64">
        <v>52.131999999999998</v>
      </c>
      <c r="G8" s="64">
        <v>17.100000000000001</v>
      </c>
      <c r="H8" s="64">
        <v>47.301000000000002</v>
      </c>
      <c r="I8" s="64">
        <v>80.489999999999995</v>
      </c>
      <c r="J8" s="64">
        <v>0.92400000000000004</v>
      </c>
      <c r="L8" s="36" t="s">
        <v>239</v>
      </c>
      <c r="M8" s="91" t="s">
        <v>240</v>
      </c>
    </row>
    <row r="9" spans="2:13" x14ac:dyDescent="0.25">
      <c r="B9" s="92" t="s">
        <v>241</v>
      </c>
      <c r="C9" s="64">
        <v>0</v>
      </c>
      <c r="D9" s="64">
        <v>11.4</v>
      </c>
      <c r="E9" s="64">
        <v>4.42</v>
      </c>
      <c r="F9" s="64">
        <v>6.4489999999999998</v>
      </c>
      <c r="G9" s="64">
        <v>2.6</v>
      </c>
      <c r="H9" s="64">
        <v>12.617000000000001</v>
      </c>
      <c r="I9" s="64">
        <v>8.4239999999999995</v>
      </c>
      <c r="J9" s="64">
        <v>11.515000000000001</v>
      </c>
      <c r="L9" s="36" t="s">
        <v>242</v>
      </c>
      <c r="M9" s="91" t="s">
        <v>243</v>
      </c>
    </row>
    <row r="10" spans="2:13" x14ac:dyDescent="0.25">
      <c r="B10" s="92" t="s">
        <v>244</v>
      </c>
      <c r="C10" s="64">
        <v>9.8000000000000007</v>
      </c>
      <c r="D10" s="64">
        <v>63.9</v>
      </c>
      <c r="E10" s="64">
        <v>38.585999999999999</v>
      </c>
      <c r="F10" s="64">
        <v>35.003999999999998</v>
      </c>
      <c r="G10" s="64">
        <v>4</v>
      </c>
      <c r="H10" s="64">
        <v>22.167999999999999</v>
      </c>
      <c r="I10" s="64">
        <v>4.6779999999999999</v>
      </c>
      <c r="J10" s="64">
        <v>61.524999999999999</v>
      </c>
      <c r="L10" s="36" t="s">
        <v>245</v>
      </c>
      <c r="M10" s="91" t="s">
        <v>246</v>
      </c>
    </row>
    <row r="11" spans="2:13" x14ac:dyDescent="0.25">
      <c r="B11" s="92" t="s">
        <v>247</v>
      </c>
      <c r="C11" s="64">
        <v>7.2</v>
      </c>
      <c r="D11" s="64">
        <v>2.6</v>
      </c>
      <c r="E11" s="64">
        <v>6.1260000000000003</v>
      </c>
      <c r="F11" s="64">
        <v>2.8130000000000002</v>
      </c>
      <c r="G11" s="64">
        <v>1.8</v>
      </c>
      <c r="H11" s="64">
        <v>8.7409999999999997</v>
      </c>
      <c r="I11" s="64">
        <v>2.7469999999999999</v>
      </c>
      <c r="J11" s="64">
        <v>3.7549999999999999</v>
      </c>
      <c r="L11" s="36" t="s">
        <v>248</v>
      </c>
      <c r="M11" s="91" t="s">
        <v>243</v>
      </c>
    </row>
    <row r="12" spans="2:13" x14ac:dyDescent="0.25">
      <c r="B12" s="44" t="s">
        <v>249</v>
      </c>
      <c r="C12" s="64">
        <v>51.6</v>
      </c>
      <c r="D12" s="64">
        <v>0</v>
      </c>
      <c r="E12" s="64">
        <v>0.27700000000000002</v>
      </c>
      <c r="F12" s="64">
        <v>0.22</v>
      </c>
      <c r="G12" s="64">
        <v>63.5</v>
      </c>
      <c r="H12" s="64">
        <v>4.6950000000000003</v>
      </c>
      <c r="I12" s="64">
        <v>1.2689999999999999</v>
      </c>
      <c r="J12" s="64">
        <v>0</v>
      </c>
      <c r="L12" s="36" t="s">
        <v>250</v>
      </c>
      <c r="M12" s="91" t="s">
        <v>251</v>
      </c>
    </row>
    <row r="13" spans="2:13" x14ac:dyDescent="0.25">
      <c r="B13" s="44" t="s">
        <v>252</v>
      </c>
      <c r="C13" s="64">
        <v>7.5</v>
      </c>
      <c r="D13" s="64">
        <v>0</v>
      </c>
      <c r="E13" s="64">
        <v>0</v>
      </c>
      <c r="F13" s="64">
        <v>0</v>
      </c>
      <c r="G13" s="64">
        <v>9.6999999999999993</v>
      </c>
      <c r="H13" s="64">
        <v>0</v>
      </c>
      <c r="I13" s="64">
        <v>0</v>
      </c>
      <c r="J13" s="64">
        <v>0</v>
      </c>
    </row>
    <row r="15" spans="2:13" x14ac:dyDescent="0.25">
      <c r="J15" s="90"/>
    </row>
    <row r="17" spans="3:11" x14ac:dyDescent="0.25">
      <c r="D17" s="90"/>
      <c r="E17" s="90"/>
      <c r="F17" s="90"/>
      <c r="G17" s="90"/>
      <c r="H17" s="90"/>
      <c r="J17" s="90"/>
      <c r="K17" s="90"/>
    </row>
    <row r="18" spans="3:11" x14ac:dyDescent="0.25">
      <c r="J18" s="90"/>
      <c r="K18" s="90"/>
    </row>
    <row r="20" spans="3:11" x14ac:dyDescent="0.25">
      <c r="C20" s="82"/>
      <c r="D20" s="82"/>
      <c r="E20" s="82"/>
    </row>
    <row r="21" spans="3:11" x14ac:dyDescent="0.25">
      <c r="C21" s="82"/>
      <c r="D21" s="82"/>
      <c r="E21" s="82"/>
      <c r="F21" s="82"/>
      <c r="G21" s="82"/>
      <c r="H21" s="82"/>
      <c r="J21" s="82"/>
      <c r="K21" s="82"/>
    </row>
    <row r="22" spans="3:11" x14ac:dyDescent="0.25">
      <c r="C22" s="82"/>
      <c r="D22" s="82"/>
      <c r="E22" s="82"/>
      <c r="F22" s="82"/>
      <c r="G22" s="82"/>
      <c r="H22" s="82"/>
      <c r="J22" s="82"/>
      <c r="K22" s="82"/>
    </row>
    <row r="23" spans="3:11" x14ac:dyDescent="0.25">
      <c r="C23" s="82"/>
      <c r="D23" s="82"/>
      <c r="E23" s="82"/>
      <c r="F23" s="82"/>
      <c r="G23" s="82"/>
      <c r="H23" s="82"/>
      <c r="J23" s="82"/>
      <c r="K23" s="82"/>
    </row>
    <row r="24" spans="3:11" x14ac:dyDescent="0.25">
      <c r="C24" s="82"/>
      <c r="D24" s="82"/>
      <c r="E24" s="82"/>
      <c r="F24" s="82"/>
      <c r="G24" s="82"/>
      <c r="H24" s="82"/>
      <c r="K24" s="82"/>
    </row>
    <row r="25" spans="3:11" x14ac:dyDescent="0.25">
      <c r="C25" s="82"/>
      <c r="D25" s="82"/>
      <c r="E25" s="82"/>
      <c r="F25" s="82"/>
      <c r="G25" s="82"/>
      <c r="H25" s="82"/>
      <c r="J25" s="82"/>
      <c r="K25" s="82"/>
    </row>
    <row r="26" spans="3:11" x14ac:dyDescent="0.25">
      <c r="C26" s="82"/>
      <c r="D26" s="82"/>
      <c r="E26" s="82"/>
      <c r="F26" s="82"/>
      <c r="G26" s="82"/>
      <c r="H26" s="82"/>
      <c r="J26" s="82"/>
      <c r="K26" s="82"/>
    </row>
    <row r="27" spans="3:11" x14ac:dyDescent="0.25">
      <c r="C27" s="82"/>
      <c r="D27" s="82"/>
      <c r="E27" s="82"/>
      <c r="F27" s="82"/>
      <c r="G27" s="82"/>
      <c r="H27" s="82"/>
      <c r="J27" s="82"/>
      <c r="K27" s="82"/>
    </row>
    <row r="28" spans="3:11" x14ac:dyDescent="0.25">
      <c r="J28" s="82"/>
      <c r="K28" s="82"/>
    </row>
  </sheetData>
  <mergeCells count="9">
    <mergeCell ref="B2:B4"/>
    <mergeCell ref="C2:J2"/>
    <mergeCell ref="C3:C4"/>
    <mergeCell ref="D3:D4"/>
    <mergeCell ref="E3:E4"/>
    <mergeCell ref="F3:F4"/>
    <mergeCell ref="G3:H3"/>
    <mergeCell ref="I3:I4"/>
    <mergeCell ref="J3:J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D38D-F74A-43FC-9714-4C0A2EAD58B9}">
  <dimension ref="A1:K20"/>
  <sheetViews>
    <sheetView workbookViewId="0">
      <selection activeCell="G22" sqref="G22"/>
    </sheetView>
  </sheetViews>
  <sheetFormatPr baseColWidth="10" defaultColWidth="8.85546875" defaultRowHeight="15" x14ac:dyDescent="0.25"/>
  <cols>
    <col min="1" max="1" width="18.7109375" style="36" bestFit="1" customWidth="1"/>
    <col min="2" max="7" width="8.85546875" style="36"/>
    <col min="8" max="8" width="11.7109375" style="36" customWidth="1"/>
    <col min="9" max="16384" width="8.85546875" style="36"/>
  </cols>
  <sheetData>
    <row r="1" spans="1:11" ht="15.75" x14ac:dyDescent="0.25">
      <c r="A1" s="89" t="s">
        <v>253</v>
      </c>
      <c r="B1" s="89"/>
      <c r="C1" s="89"/>
      <c r="D1" s="89"/>
      <c r="E1" s="89"/>
      <c r="F1" s="89"/>
      <c r="G1" s="89"/>
    </row>
    <row r="3" spans="1:11" x14ac:dyDescent="0.25">
      <c r="C3" s="36" t="s">
        <v>59</v>
      </c>
      <c r="D3" s="90" t="s">
        <v>254</v>
      </c>
      <c r="E3" s="90" t="s">
        <v>255</v>
      </c>
      <c r="F3" s="90" t="s">
        <v>256</v>
      </c>
      <c r="G3" s="90" t="s">
        <v>257</v>
      </c>
      <c r="H3" s="90" t="s">
        <v>258</v>
      </c>
      <c r="J3" s="90" t="s">
        <v>259</v>
      </c>
      <c r="K3" s="90" t="s">
        <v>260</v>
      </c>
    </row>
    <row r="4" spans="1:11" x14ac:dyDescent="0.25">
      <c r="C4" s="36" t="s">
        <v>261</v>
      </c>
      <c r="J4" s="90" t="s">
        <v>262</v>
      </c>
      <c r="K4" s="90" t="s">
        <v>262</v>
      </c>
    </row>
    <row r="5" spans="1:11" x14ac:dyDescent="0.25">
      <c r="A5" s="36" t="s">
        <v>263</v>
      </c>
      <c r="C5" s="36" t="s">
        <v>229</v>
      </c>
      <c r="D5" s="36" t="s">
        <v>229</v>
      </c>
      <c r="E5" s="36" t="s">
        <v>229</v>
      </c>
      <c r="F5" s="36" t="s">
        <v>229</v>
      </c>
      <c r="G5" s="36" t="s">
        <v>229</v>
      </c>
      <c r="H5" s="36" t="s">
        <v>229</v>
      </c>
    </row>
    <row r="6" spans="1:11" ht="18" x14ac:dyDescent="0.35">
      <c r="A6" s="36" t="s">
        <v>264</v>
      </c>
      <c r="B6" s="36" t="s">
        <v>265</v>
      </c>
      <c r="C6" s="82">
        <v>16.565999999999999</v>
      </c>
      <c r="D6" s="82"/>
      <c r="E6" s="82"/>
    </row>
    <row r="7" spans="1:11" x14ac:dyDescent="0.25">
      <c r="A7" s="36" t="s">
        <v>266</v>
      </c>
      <c r="B7" s="36" t="s">
        <v>184</v>
      </c>
      <c r="C7" s="82">
        <v>0.42499999999999999</v>
      </c>
      <c r="D7" s="82">
        <v>16.8</v>
      </c>
      <c r="E7" s="82">
        <v>1.9470000000000001</v>
      </c>
      <c r="F7" s="82">
        <v>0</v>
      </c>
      <c r="G7" s="82">
        <v>1.6830000000000001</v>
      </c>
      <c r="H7" s="82">
        <v>0.1</v>
      </c>
      <c r="J7" s="82">
        <v>2</v>
      </c>
      <c r="K7" s="82">
        <v>0</v>
      </c>
    </row>
    <row r="8" spans="1:11" x14ac:dyDescent="0.25">
      <c r="A8" s="36" t="s">
        <v>267</v>
      </c>
      <c r="B8" s="36" t="s">
        <v>183</v>
      </c>
      <c r="C8" s="82">
        <v>5.29</v>
      </c>
      <c r="D8" s="82">
        <v>2.5</v>
      </c>
      <c r="E8" s="82">
        <v>2.214</v>
      </c>
      <c r="F8" s="82">
        <v>3.3820000000000001</v>
      </c>
      <c r="G8" s="82">
        <v>2.7959999999999998</v>
      </c>
      <c r="H8" s="82">
        <v>2.2919999999999998</v>
      </c>
      <c r="J8" s="82">
        <v>2.6</v>
      </c>
      <c r="K8" s="82">
        <v>1.3</v>
      </c>
    </row>
    <row r="9" spans="1:11" ht="18" x14ac:dyDescent="0.35">
      <c r="A9" s="36" t="s">
        <v>268</v>
      </c>
      <c r="B9" s="36" t="s">
        <v>269</v>
      </c>
      <c r="C9" s="82">
        <v>0.92400000000000004</v>
      </c>
      <c r="D9" s="82">
        <v>2.8</v>
      </c>
      <c r="E9" s="82">
        <v>46.432000000000002</v>
      </c>
      <c r="F9" s="82">
        <v>52.131999999999998</v>
      </c>
      <c r="G9" s="82">
        <v>47.301000000000002</v>
      </c>
      <c r="H9" s="82">
        <v>80.489999999999995</v>
      </c>
      <c r="J9" s="82">
        <v>19.5</v>
      </c>
      <c r="K9" s="82">
        <v>17.100000000000001</v>
      </c>
    </row>
    <row r="10" spans="1:11" ht="18" x14ac:dyDescent="0.35">
      <c r="A10" s="36" t="s">
        <v>242</v>
      </c>
      <c r="B10" s="36" t="s">
        <v>270</v>
      </c>
      <c r="C10" s="82">
        <v>11.515000000000001</v>
      </c>
      <c r="D10" s="82">
        <v>11.4</v>
      </c>
      <c r="E10" s="82">
        <v>4.42</v>
      </c>
      <c r="F10" s="82">
        <v>6.4489999999999998</v>
      </c>
      <c r="G10" s="82">
        <v>12.617000000000001</v>
      </c>
      <c r="H10" s="82">
        <v>8.4239999999999995</v>
      </c>
      <c r="K10" s="82">
        <v>2.6</v>
      </c>
    </row>
    <row r="11" spans="1:11" ht="18" x14ac:dyDescent="0.35">
      <c r="A11" s="36" t="s">
        <v>271</v>
      </c>
      <c r="B11" s="36" t="s">
        <v>272</v>
      </c>
      <c r="C11" s="82">
        <v>61.524999999999999</v>
      </c>
      <c r="D11" s="82">
        <v>63.9</v>
      </c>
      <c r="E11" s="82">
        <v>38.585999999999999</v>
      </c>
      <c r="F11" s="82">
        <v>35.003999999999998</v>
      </c>
      <c r="G11" s="82">
        <v>22.167999999999999</v>
      </c>
      <c r="H11" s="82">
        <v>4.6779999999999999</v>
      </c>
      <c r="J11" s="82">
        <v>9.8000000000000007</v>
      </c>
      <c r="K11" s="82">
        <v>4</v>
      </c>
    </row>
    <row r="12" spans="1:11" ht="18" x14ac:dyDescent="0.35">
      <c r="A12" s="36" t="s">
        <v>248</v>
      </c>
      <c r="B12" s="36" t="s">
        <v>273</v>
      </c>
      <c r="C12" s="82">
        <v>3.7549999999999999</v>
      </c>
      <c r="D12" s="82">
        <v>2.6</v>
      </c>
      <c r="E12" s="82">
        <v>6.1260000000000003</v>
      </c>
      <c r="F12" s="82">
        <v>2.8130000000000002</v>
      </c>
      <c r="G12" s="82">
        <v>8.7409999999999997</v>
      </c>
      <c r="H12" s="82">
        <v>2.7469999999999999</v>
      </c>
      <c r="J12" s="82">
        <v>7.2</v>
      </c>
      <c r="K12" s="82">
        <v>1.8</v>
      </c>
    </row>
    <row r="13" spans="1:11" ht="18" x14ac:dyDescent="0.35">
      <c r="A13" s="36" t="s">
        <v>274</v>
      </c>
      <c r="B13" s="36" t="s">
        <v>269</v>
      </c>
      <c r="C13" s="82">
        <v>0</v>
      </c>
      <c r="D13" s="82">
        <v>0</v>
      </c>
      <c r="E13" s="82">
        <v>0.27700000000000002</v>
      </c>
      <c r="F13" s="82">
        <v>0.22</v>
      </c>
      <c r="G13" s="82">
        <v>4.6950000000000003</v>
      </c>
      <c r="H13" s="82">
        <v>1.2689999999999999</v>
      </c>
      <c r="J13" s="82">
        <v>51.6</v>
      </c>
      <c r="K13" s="82">
        <v>63.5</v>
      </c>
    </row>
    <row r="14" spans="1:11" x14ac:dyDescent="0.25">
      <c r="A14" s="36" t="s">
        <v>252</v>
      </c>
      <c r="J14" s="82">
        <v>7.5</v>
      </c>
      <c r="K14" s="82">
        <v>9.6999999999999993</v>
      </c>
    </row>
    <row r="16" spans="1:11" x14ac:dyDescent="0.25">
      <c r="A16" s="36" t="s">
        <v>275</v>
      </c>
      <c r="C16" s="90" t="s">
        <v>276</v>
      </c>
      <c r="J16" s="36" t="s">
        <v>277</v>
      </c>
      <c r="K16" s="36" t="s">
        <v>278</v>
      </c>
    </row>
    <row r="20" spans="2:2" ht="21" x14ac:dyDescent="0.35">
      <c r="B20" s="93" t="s">
        <v>279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fea31a-6194-41a1-9162-9618bf8aae25">
      <Terms xmlns="http://schemas.microsoft.com/office/infopath/2007/PartnerControls"/>
    </lcf76f155ced4ddcb4097134ff3c332f>
    <TaxCatchAll xmlns="44a053b8-0fc3-48c6-8537-d0a8d44b9f0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976CCDA138044CB78AE6A58E5D9C12" ma:contentTypeVersion="14" ma:contentTypeDescription="Create a new document." ma:contentTypeScope="" ma:versionID="44d673b02fc7fb061988a24b5967b62f">
  <xsd:schema xmlns:xsd="http://www.w3.org/2001/XMLSchema" xmlns:xs="http://www.w3.org/2001/XMLSchema" xmlns:p="http://schemas.microsoft.com/office/2006/metadata/properties" xmlns:ns2="0bfea31a-6194-41a1-9162-9618bf8aae25" xmlns:ns3="44a053b8-0fc3-48c6-8537-d0a8d44b9f08" targetNamespace="http://schemas.microsoft.com/office/2006/metadata/properties" ma:root="true" ma:fieldsID="3fa327c33f394af52df9799c82b15534" ns2:_="" ns3:_="">
    <xsd:import namespace="0bfea31a-6194-41a1-9162-9618bf8aae25"/>
    <xsd:import namespace="44a053b8-0fc3-48c6-8537-d0a8d44b9f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ea31a-6194-41a1-9162-9618bf8aae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5263c0-7114-47d3-8603-0e3ef132c9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053b8-0fc3-48c6-8537-d0a8d44b9f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c07cf4-d6c2-43ba-a80d-f3a735b20ef2}" ma:internalName="TaxCatchAll" ma:showField="CatchAllData" ma:web="44a053b8-0fc3-48c6-8537-d0a8d44b9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CCCF36-AD50-4814-8DD3-225FF42B95A9}">
  <ds:schemaRefs>
    <ds:schemaRef ds:uri="http://schemas.microsoft.com/office/2006/metadata/properties"/>
    <ds:schemaRef ds:uri="http://schemas.microsoft.com/office/infopath/2007/PartnerControls"/>
    <ds:schemaRef ds:uri="0bfea31a-6194-41a1-9162-9618bf8aae25"/>
    <ds:schemaRef ds:uri="44a053b8-0fc3-48c6-8537-d0a8d44b9f08"/>
  </ds:schemaRefs>
</ds:datastoreItem>
</file>

<file path=customXml/itemProps2.xml><?xml version="1.0" encoding="utf-8"?>
<ds:datastoreItem xmlns:ds="http://schemas.openxmlformats.org/officeDocument/2006/customXml" ds:itemID="{8537B544-E777-4507-8E74-0E5295D9B6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fea31a-6194-41a1-9162-9618bf8aae25"/>
    <ds:schemaRef ds:uri="44a053b8-0fc3-48c6-8537-d0a8d44b9f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72FBBD-C88B-45C6-A389-28A55350EB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Precalcination_forR</vt:lpstr>
      <vt:lpstr>Number of samples</vt:lpstr>
      <vt:lpstr>Sample locations</vt:lpstr>
      <vt:lpstr>Granulometric composition</vt:lpstr>
      <vt:lpstr>Granulometric composition 2</vt:lpstr>
      <vt:lpstr>XRF</vt:lpstr>
      <vt:lpstr>Filtered by CaO</vt:lpstr>
      <vt:lpstr>Precalcination</vt:lpstr>
      <vt:lpstr>XRD results</vt:lpstr>
      <vt:lpstr>XRD_orig</vt:lpstr>
    </vt:vector>
  </TitlesOfParts>
  <Manager/>
  <Company>Tallinn University of Technology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Sander Kanter</dc:creator>
  <cp:keywords/>
  <dc:description/>
  <cp:lastModifiedBy>Bruno Grafe</cp:lastModifiedBy>
  <cp:revision/>
  <dcterms:created xsi:type="dcterms:W3CDTF">2026-01-13T10:52:45Z</dcterms:created>
  <dcterms:modified xsi:type="dcterms:W3CDTF">2026-01-14T16:02:52Z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0x010100FF976CCDA138044CB78AE6A58E5D9C12</vt:lpwstr>
  </property>
  <property fmtid="{D5CDD505-2E9C-101B-9397-08002B2CF9AE}" pid="3" name="MediaServiceImageTags">
    <vt:lpwstr/>
  </property>
</Properties>
</file>